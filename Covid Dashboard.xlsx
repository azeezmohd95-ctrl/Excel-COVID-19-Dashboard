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https://d.docs.live.net/3248a1126a7bf568/Desktop/data anlyst/projects/"/>
    </mc:Choice>
  </mc:AlternateContent>
  <xr:revisionPtr revIDLastSave="0" documentId="8_{096FA8B6-B55A-4BBE-B484-7CAE545EFE91}" xr6:coauthVersionLast="47" xr6:coauthVersionMax="47" xr10:uidLastSave="{00000000-0000-0000-0000-000000000000}"/>
  <bookViews>
    <workbookView xWindow="-108" yWindow="-108" windowWidth="23256" windowHeight="12456" activeTab="2" xr2:uid="{00000000-000D-0000-FFFF-FFFF00000000}"/>
  </bookViews>
  <sheets>
    <sheet name="Data" sheetId="1" r:id="rId1"/>
    <sheet name="pivot" sheetId="2" r:id="rId2"/>
    <sheet name="dashboard" sheetId="4" r:id="rId3"/>
  </sheets>
  <definedNames>
    <definedName name="Slicer_State_UTs">#N/A</definedName>
    <definedName name="Slicer_Zon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<sst xmlns="http://schemas.openxmlformats.org/spreadsheetml/2006/main" count="194" uniqueCount="65">
  <si>
    <t>State/UTs</t>
  </si>
  <si>
    <t>Zone</t>
  </si>
  <si>
    <t>Total Cases</t>
  </si>
  <si>
    <t>Active</t>
  </si>
  <si>
    <t>Discharged</t>
  </si>
  <si>
    <t>Deaths</t>
  </si>
  <si>
    <t>Active Ratio</t>
  </si>
  <si>
    <t>Discharge Ratio</t>
  </si>
  <si>
    <t>Discharge Avg</t>
  </si>
  <si>
    <t>Death Ratio</t>
  </si>
  <si>
    <t>Death Avg</t>
  </si>
  <si>
    <t>Population</t>
  </si>
  <si>
    <t>Andaman and Nicobar</t>
  </si>
  <si>
    <t>South</t>
  </si>
  <si>
    <t>Andhra Pradesh</t>
  </si>
  <si>
    <t>Arunachal Pradesh</t>
  </si>
  <si>
    <t>East</t>
  </si>
  <si>
    <t>Assam</t>
  </si>
  <si>
    <t>Bihar</t>
  </si>
  <si>
    <t>Chandigarh</t>
  </si>
  <si>
    <t>North</t>
  </si>
  <si>
    <t>Chhattisgarh</t>
  </si>
  <si>
    <t>Daman and Diu</t>
  </si>
  <si>
    <t>West</t>
  </si>
  <si>
    <t>Delhi</t>
  </si>
  <si>
    <t>Goa</t>
  </si>
  <si>
    <t>Gujarat</t>
  </si>
  <si>
    <t>Haryana</t>
  </si>
  <si>
    <t>Himachal Pradesh</t>
  </si>
  <si>
    <t>Jammu and Kashmir</t>
  </si>
  <si>
    <t>Jharkhand</t>
  </si>
  <si>
    <t>Karnataka</t>
  </si>
  <si>
    <t>Kerala</t>
  </si>
  <si>
    <t>Ladakh</t>
  </si>
  <si>
    <t>Lakshadweep</t>
  </si>
  <si>
    <t>Madhya Pradesh</t>
  </si>
  <si>
    <t>Maharashtra</t>
  </si>
  <si>
    <t>Manipur</t>
  </si>
  <si>
    <t>Meghalaya</t>
  </si>
  <si>
    <t>Mizoram</t>
  </si>
  <si>
    <t>Nagaland</t>
  </si>
  <si>
    <t>Odisha</t>
  </si>
  <si>
    <t>Puducherry</t>
  </si>
  <si>
    <t>Punjab</t>
  </si>
  <si>
    <t>Rajasthan</t>
  </si>
  <si>
    <t>Sikkim</t>
  </si>
  <si>
    <t>Tamil Nadu</t>
  </si>
  <si>
    <t>Telengana</t>
  </si>
  <si>
    <t>Tripura</t>
  </si>
  <si>
    <t>Uttar Pradesh</t>
  </si>
  <si>
    <t>Uttarakhand</t>
  </si>
  <si>
    <t>West Bengal</t>
  </si>
  <si>
    <t>Below Average</t>
  </si>
  <si>
    <t>Above Average</t>
  </si>
  <si>
    <t>Row Labels</t>
  </si>
  <si>
    <t>Grand Total</t>
  </si>
  <si>
    <t>Sum of Total Cases</t>
  </si>
  <si>
    <t>Sum of Deaths</t>
  </si>
  <si>
    <t>Sum of Discharged</t>
  </si>
  <si>
    <t>Sum of Active</t>
  </si>
  <si>
    <t>Sum of Population</t>
  </si>
  <si>
    <t>Row labels</t>
  </si>
  <si>
    <t>Covid-19 dashboard</t>
  </si>
  <si>
    <t>Dashboard Created by:Azeez Mohammad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</si>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</sst>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4"/>
      <color theme="1"/>
      <name val="Calibri"/>
      <family val="2"/>
      <scheme val="minor"/>
    </font>
    <font>
      <sz val="36"/>
      <color theme="0"/>
      <name val="Algerian"/>
      <family val="5"/>
    </font>
  </fonts>
  <fills count="4">
    <fill>
      <patternFill patternType="none"/>
    </fill>
    <fill>
      <patternFill patternType="gray125"/>
    </fill>
    <fill>
      <patternFill patternType="solid">
        <fgColor theme="8"/>
        <bgColor indexed="64"/>
      </patternFill>
    </fill>
    <fill>
      <patternFill patternType="solid">
        <fgColor theme="6"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pivotButton="1"/>
    <xf numFmtId="0" fontId="0" fillId="0" borderId="0" xfId="0" applyAlignment="1">
      <alignment horizontal="left"/>
    </xf>
    <xf numFmtId="0" fontId="0" fillId="3" borderId="0" xfId="0" applyFill="1"/>
    <xf numFmtId="0" fontId="0" fillId="2" borderId="0" xfId="0" applyFill="1"/>
    <xf numFmtId="0" fontId="2" fillId="2" borderId="0" xfId="0" applyFont="1" applyFill="1" applyAlignment="1">
      <alignment horizontal="center" vertical="center"/>
    </xf>
    <xf numFmtId="0" fontId="2" fillId="3" borderId="0" xfId="0" applyFont="1" applyFill="1" applyAlignment="1">
      <alignment horizontal="center" vertical="center"/>
    </xf>
  </cellXfs>
  <cellStyles count="1">
    <cellStyle name="Normal" xfId="0" builtinId="0"/>
  </cellStyles>
  <dxfs count="1">
    <dxf>
      <font>
        <b/>
        <i val="0"/>
        <strike val="0"/>
        <condense val="0"/>
        <extend val="0"/>
        <outline val="0"/>
        <shadow val="0"/>
        <u val="none"/>
        <vertAlign val="baseline"/>
        <sz val="14"/>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microsoft.com/office/2017/10/relationships/person" Target="persons/perso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Dashboard.xlsx]pivot!PivotTable1</c:name>
    <c:fmtId val="3"/>
  </c:pivotSource>
  <c:chart>
    <c:title>
      <c:tx>
        <c:rich>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r>
              <a:rPr lang="en-IN" sz="1200" b="1">
                <a:latin typeface="Arial" panose="020B0604020202020204" pitchFamily="34" charset="0"/>
                <a:cs typeface="Arial" panose="020B0604020202020204" pitchFamily="34" charset="0"/>
              </a:rPr>
              <a:t>Total Cases</a:t>
            </a:r>
          </a:p>
          <a:p>
            <a:pPr>
              <a:defRPr sz="1200" b="1">
                <a:latin typeface="Arial" panose="020B0604020202020204" pitchFamily="34" charset="0"/>
                <a:cs typeface="Arial" panose="020B0604020202020204" pitchFamily="34" charset="0"/>
              </a:defRPr>
            </a:pPr>
            <a:endParaRPr lang="en-IN" sz="1200" b="1">
              <a:latin typeface="Arial" panose="020B0604020202020204" pitchFamily="34" charset="0"/>
              <a:cs typeface="Arial" panose="020B0604020202020204" pitchFamily="34" charset="0"/>
            </a:endParaRPr>
          </a:p>
        </c:rich>
      </c:tx>
      <c:overlay val="0"/>
      <c:spPr>
        <a:noFill/>
        <a:ln>
          <a:noFill/>
        </a:ln>
        <a:effectLst/>
      </c:spPr>
      <c:txPr>
        <a:bodyPr rot="0" spcFirstLastPara="1" vertOverflow="ellipsis" vert="horz" wrap="square" anchor="ctr" anchorCtr="1"/>
        <a:lstStyle/>
        <a:p>
          <a:pPr>
            <a:defRPr sz="1200" b="1" i="0" u="none" strike="noStrike" kern="1200" spc="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873970495067428"/>
          <c:y val="0.42412973442063212"/>
          <c:w val="0.74638484970400598"/>
          <c:h val="0.45078480288973777"/>
        </c:manualLayout>
      </c:layout>
      <c:barChart>
        <c:barDir val="col"/>
        <c:grouping val="clustered"/>
        <c:varyColors val="0"/>
        <c:ser>
          <c:idx val="0"/>
          <c:order val="0"/>
          <c:tx>
            <c:strRef>
              <c:f>pivot!$B$3</c:f>
              <c:strCache>
                <c:ptCount val="1"/>
                <c:pt idx="0">
                  <c:v>Total</c:v>
                </c:pt>
              </c:strCache>
            </c:strRef>
          </c:tx>
          <c:spPr>
            <a:solidFill>
              <a:schemeClr val="accent2"/>
            </a:solidFill>
            <a:ln>
              <a:noFill/>
            </a:ln>
            <a:effectLst/>
          </c:spPr>
          <c:invertIfNegative val="0"/>
          <c:cat>
            <c:strRef>
              <c:f>pivot!$A$4:$A$8</c:f>
              <c:strCache>
                <c:ptCount val="4"/>
                <c:pt idx="0">
                  <c:v>East</c:v>
                </c:pt>
                <c:pt idx="1">
                  <c:v>North</c:v>
                </c:pt>
                <c:pt idx="2">
                  <c:v>South</c:v>
                </c:pt>
                <c:pt idx="3">
                  <c:v>West</c:v>
                </c:pt>
              </c:strCache>
            </c:strRef>
          </c:cat>
          <c:val>
            <c:numRef>
              <c:f>pivot!$B$4:$B$8</c:f>
              <c:numCache>
                <c:formatCode>General</c:formatCode>
                <c:ptCount val="4"/>
                <c:pt idx="0">
                  <c:v>5884786</c:v>
                </c:pt>
                <c:pt idx="1">
                  <c:v>5515107</c:v>
                </c:pt>
                <c:pt idx="2">
                  <c:v>13650538</c:v>
                </c:pt>
                <c:pt idx="3">
                  <c:v>9386876</c:v>
                </c:pt>
              </c:numCache>
            </c:numRef>
          </c:val>
          <c:extLst>
            <c:ext xmlns:c16="http://schemas.microsoft.com/office/drawing/2014/chart" uri="{C3380CC4-5D6E-409C-BE32-E72D297353CC}">
              <c16:uniqueId val="{00000000-2322-4574-A481-EACFCE54B830}"/>
            </c:ext>
          </c:extLst>
        </c:ser>
        <c:dLbls>
          <c:showLegendKey val="0"/>
          <c:showVal val="0"/>
          <c:showCatName val="0"/>
          <c:showSerName val="0"/>
          <c:showPercent val="0"/>
          <c:showBubbleSize val="0"/>
        </c:dLbls>
        <c:gapWidth val="219"/>
        <c:overlap val="-27"/>
        <c:axId val="1396605008"/>
        <c:axId val="1570283888"/>
      </c:barChart>
      <c:catAx>
        <c:axId val="13966050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283888"/>
        <c:crosses val="autoZero"/>
        <c:auto val="1"/>
        <c:lblAlgn val="ctr"/>
        <c:lblOffset val="100"/>
        <c:noMultiLvlLbl val="0"/>
      </c:catAx>
      <c:valAx>
        <c:axId val="157028388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660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[Covid Dashboard.xlsx]pivot!PivotTable2</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Total Deaths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025543938155272"/>
          <c:y val="0.37261749655393794"/>
          <c:w val="0.70351938546012238"/>
          <c:h val="0.51520357475976664"/>
        </c:manualLayout>
      </c:layout>
      <c:barChart>
        <c:barDir val="col"/>
        <c:grouping val="clustered"/>
        <c:varyColors val="0"/>
        <c:ser>
          <c:idx val="0"/>
          <c:order val="0"/>
          <c:tx>
            <c:strRef>
              <c:f>pivot!$E$3</c:f>
              <c:strCache>
                <c:ptCount val="1"/>
                <c:pt idx="0">
                  <c:v>Total</c:v>
                </c:pt>
              </c:strCache>
            </c:strRef>
          </c:tx>
          <c:spPr>
            <a:solidFill>
              <a:schemeClr val="accent4"/>
            </a:solidFill>
            <a:ln>
              <a:noFill/>
            </a:ln>
            <a:effectLst/>
          </c:spPr>
          <c:invertIfNegative val="0"/>
          <c:cat>
            <c:strRef>
              <c:f>pivot!$D$4:$D$8</c:f>
              <c:strCache>
                <c:ptCount val="4"/>
                <c:pt idx="0">
                  <c:v>East</c:v>
                </c:pt>
                <c:pt idx="1">
                  <c:v>North</c:v>
                </c:pt>
                <c:pt idx="2">
                  <c:v>South</c:v>
                </c:pt>
                <c:pt idx="3">
                  <c:v>West</c:v>
                </c:pt>
              </c:strCache>
            </c:strRef>
          </c:cat>
          <c:val>
            <c:numRef>
              <c:f>pivot!$E$4:$E$8</c:f>
              <c:numCache>
                <c:formatCode>General</c:formatCode>
                <c:ptCount val="4"/>
                <c:pt idx="0">
                  <c:v>68173</c:v>
                </c:pt>
                <c:pt idx="1">
                  <c:v>91317</c:v>
                </c:pt>
                <c:pt idx="2">
                  <c:v>130529</c:v>
                </c:pt>
                <c:pt idx="3">
                  <c:v>173511</c:v>
                </c:pt>
              </c:numCache>
            </c:numRef>
          </c:val>
          <c:extLst>
            <c:ext xmlns:c16="http://schemas.microsoft.com/office/drawing/2014/chart" uri="{C3380CC4-5D6E-409C-BE32-E72D297353CC}">
              <c16:uniqueId val="{00000000-6A78-4267-A7BD-747CAB698B57}"/>
            </c:ext>
          </c:extLst>
        </c:ser>
        <c:dLbls>
          <c:showLegendKey val="0"/>
          <c:showVal val="0"/>
          <c:showCatName val="0"/>
          <c:showSerName val="0"/>
          <c:showPercent val="0"/>
          <c:showBubbleSize val="0"/>
        </c:dLbls>
        <c:gapWidth val="219"/>
        <c:overlap val="-27"/>
        <c:axId val="1983705200"/>
        <c:axId val="1403876880"/>
      </c:barChart>
      <c:catAx>
        <c:axId val="1983705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876880"/>
        <c:crosses val="autoZero"/>
        <c:auto val="1"/>
        <c:lblAlgn val="ctr"/>
        <c:lblOffset val="100"/>
        <c:noMultiLvlLbl val="0"/>
      </c:catAx>
      <c:valAx>
        <c:axId val="1403876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7052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[Covid Dashboard.xlsx]pivot!PivotTable4</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 Total Disharged</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4793479762398116"/>
          <c:y val="0.33478112701084001"/>
          <c:w val="0.50736431156937101"/>
          <c:h val="0.53735827720850782"/>
        </c:manualLayout>
      </c:layout>
      <c:barChart>
        <c:barDir val="col"/>
        <c:grouping val="clustered"/>
        <c:varyColors val="0"/>
        <c:ser>
          <c:idx val="0"/>
          <c:order val="0"/>
          <c:tx>
            <c:strRef>
              <c:f>pivot!$K$3</c:f>
              <c:strCache>
                <c:ptCount val="1"/>
                <c:pt idx="0">
                  <c:v>Total</c:v>
                </c:pt>
              </c:strCache>
            </c:strRef>
          </c:tx>
          <c:spPr>
            <a:solidFill>
              <a:schemeClr val="accent5"/>
            </a:solidFill>
            <a:ln>
              <a:noFill/>
            </a:ln>
            <a:effectLst/>
          </c:spPr>
          <c:invertIfNegative val="0"/>
          <c:cat>
            <c:strRef>
              <c:f>pivot!$J$4:$J$8</c:f>
              <c:strCache>
                <c:ptCount val="4"/>
                <c:pt idx="0">
                  <c:v>East</c:v>
                </c:pt>
                <c:pt idx="1">
                  <c:v>North</c:v>
                </c:pt>
                <c:pt idx="2">
                  <c:v>South</c:v>
                </c:pt>
                <c:pt idx="3">
                  <c:v>West</c:v>
                </c:pt>
              </c:strCache>
            </c:strRef>
          </c:cat>
          <c:val>
            <c:numRef>
              <c:f>pivot!$K$4:$K$8</c:f>
              <c:numCache>
                <c:formatCode>General</c:formatCode>
                <c:ptCount val="4"/>
                <c:pt idx="0">
                  <c:v>5795207</c:v>
                </c:pt>
                <c:pt idx="1">
                  <c:v>5419995</c:v>
                </c:pt>
                <c:pt idx="2">
                  <c:v>13425793</c:v>
                </c:pt>
                <c:pt idx="3">
                  <c:v>9196864</c:v>
                </c:pt>
              </c:numCache>
            </c:numRef>
          </c:val>
          <c:extLst>
            <c:ext xmlns:c16="http://schemas.microsoft.com/office/drawing/2014/chart" uri="{C3380CC4-5D6E-409C-BE32-E72D297353CC}">
              <c16:uniqueId val="{00000000-0A64-4F16-91DF-4D4F5D447513}"/>
            </c:ext>
          </c:extLst>
        </c:ser>
        <c:dLbls>
          <c:showLegendKey val="0"/>
          <c:showVal val="0"/>
          <c:showCatName val="0"/>
          <c:showSerName val="0"/>
          <c:showPercent val="0"/>
          <c:showBubbleSize val="0"/>
        </c:dLbls>
        <c:gapWidth val="219"/>
        <c:overlap val="-27"/>
        <c:axId val="2022480608"/>
        <c:axId val="1403875440"/>
      </c:barChart>
      <c:catAx>
        <c:axId val="202248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03875440"/>
        <c:crosses val="autoZero"/>
        <c:auto val="1"/>
        <c:lblAlgn val="ctr"/>
        <c:lblOffset val="100"/>
        <c:noMultiLvlLbl val="0"/>
      </c:catAx>
      <c:valAx>
        <c:axId val="1403875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48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Dashboard.xlsx]pivot!PivotTable3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Active Cases</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102089401475672"/>
          <c:y val="0.34113099749904618"/>
          <c:w val="0.57254602435278845"/>
          <c:h val="0.52900707470440589"/>
        </c:manualLayout>
      </c:layout>
      <c:barChart>
        <c:barDir val="col"/>
        <c:grouping val="clustered"/>
        <c:varyColors val="0"/>
        <c:ser>
          <c:idx val="0"/>
          <c:order val="0"/>
          <c:tx>
            <c:strRef>
              <c:f>pivot!$H$3</c:f>
              <c:strCache>
                <c:ptCount val="1"/>
                <c:pt idx="0">
                  <c:v>Total</c:v>
                </c:pt>
              </c:strCache>
            </c:strRef>
          </c:tx>
          <c:spPr>
            <a:solidFill>
              <a:schemeClr val="accent6"/>
            </a:solidFill>
            <a:ln>
              <a:noFill/>
            </a:ln>
            <a:effectLst/>
          </c:spPr>
          <c:invertIfNegative val="0"/>
          <c:cat>
            <c:strRef>
              <c:f>pivot!$G$4:$G$8</c:f>
              <c:strCache>
                <c:ptCount val="4"/>
                <c:pt idx="0">
                  <c:v>East</c:v>
                </c:pt>
                <c:pt idx="1">
                  <c:v>North</c:v>
                </c:pt>
                <c:pt idx="2">
                  <c:v>South</c:v>
                </c:pt>
                <c:pt idx="3">
                  <c:v>West</c:v>
                </c:pt>
              </c:strCache>
            </c:strRef>
          </c:cat>
          <c:val>
            <c:numRef>
              <c:f>pivot!$H$4:$H$8</c:f>
              <c:numCache>
                <c:formatCode>General</c:formatCode>
                <c:ptCount val="4"/>
                <c:pt idx="0">
                  <c:v>21406</c:v>
                </c:pt>
                <c:pt idx="1">
                  <c:v>3795</c:v>
                </c:pt>
                <c:pt idx="2">
                  <c:v>94216</c:v>
                </c:pt>
                <c:pt idx="3">
                  <c:v>16501</c:v>
                </c:pt>
              </c:numCache>
            </c:numRef>
          </c:val>
          <c:extLst>
            <c:ext xmlns:c16="http://schemas.microsoft.com/office/drawing/2014/chart" uri="{C3380CC4-5D6E-409C-BE32-E72D297353CC}">
              <c16:uniqueId val="{00000000-2AAB-4F1F-B3B7-1ED8F67E5AFC}"/>
            </c:ext>
          </c:extLst>
        </c:ser>
        <c:dLbls>
          <c:showLegendKey val="0"/>
          <c:showVal val="0"/>
          <c:showCatName val="0"/>
          <c:showSerName val="0"/>
          <c:showPercent val="0"/>
          <c:showBubbleSize val="0"/>
        </c:dLbls>
        <c:gapWidth val="219"/>
        <c:overlap val="-27"/>
        <c:axId val="2022467616"/>
        <c:axId val="2020539920"/>
      </c:barChart>
      <c:catAx>
        <c:axId val="2022467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0539920"/>
        <c:crosses val="autoZero"/>
        <c:auto val="1"/>
        <c:lblAlgn val="ctr"/>
        <c:lblOffset val="100"/>
        <c:noMultiLvlLbl val="0"/>
      </c:catAx>
      <c:valAx>
        <c:axId val="20205399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2467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[Covid Dashboard.xlsx]pivot!PivotTable5</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Population by Zone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2636811585643433"/>
          <c:y val="0.33886600900773922"/>
          <c:w val="0.49186872722899772"/>
          <c:h val="0.42317050814505019"/>
        </c:manualLayout>
      </c:layout>
      <c:barChart>
        <c:barDir val="col"/>
        <c:grouping val="clustered"/>
        <c:varyColors val="0"/>
        <c:ser>
          <c:idx val="0"/>
          <c:order val="0"/>
          <c:tx>
            <c:strRef>
              <c:f>pivot!$N$3</c:f>
              <c:strCache>
                <c:ptCount val="1"/>
                <c:pt idx="0">
                  <c:v>Total</c:v>
                </c:pt>
              </c:strCache>
            </c:strRef>
          </c:tx>
          <c:spPr>
            <a:solidFill>
              <a:schemeClr val="accent3"/>
            </a:solidFill>
            <a:ln>
              <a:noFill/>
            </a:ln>
            <a:effectLst/>
          </c:spPr>
          <c:invertIfNegative val="0"/>
          <c:cat>
            <c:strRef>
              <c:f>pivot!$M$4:$M$8</c:f>
              <c:strCache>
                <c:ptCount val="4"/>
                <c:pt idx="0">
                  <c:v>East</c:v>
                </c:pt>
                <c:pt idx="1">
                  <c:v>North</c:v>
                </c:pt>
                <c:pt idx="2">
                  <c:v>South</c:v>
                </c:pt>
                <c:pt idx="3">
                  <c:v>West</c:v>
                </c:pt>
              </c:strCache>
            </c:strRef>
          </c:cat>
          <c:val>
            <c:numRef>
              <c:f>pivot!$N$4:$N$8</c:f>
              <c:numCache>
                <c:formatCode>General</c:formatCode>
                <c:ptCount val="4"/>
                <c:pt idx="0">
                  <c:v>401941119</c:v>
                </c:pt>
                <c:pt idx="1">
                  <c:v>345856405</c:v>
                </c:pt>
                <c:pt idx="2">
                  <c:v>319967249</c:v>
                </c:pt>
                <c:pt idx="3">
                  <c:v>362105107</c:v>
                </c:pt>
              </c:numCache>
            </c:numRef>
          </c:val>
          <c:extLst>
            <c:ext xmlns:c16="http://schemas.microsoft.com/office/drawing/2014/chart" uri="{C3380CC4-5D6E-409C-BE32-E72D297353CC}">
              <c16:uniqueId val="{00000000-19DA-4888-B678-088B5B74882A}"/>
            </c:ext>
          </c:extLst>
        </c:ser>
        <c:dLbls>
          <c:showLegendKey val="0"/>
          <c:showVal val="0"/>
          <c:showCatName val="0"/>
          <c:showSerName val="0"/>
          <c:showPercent val="0"/>
          <c:showBubbleSize val="0"/>
        </c:dLbls>
        <c:gapWidth val="219"/>
        <c:overlap val="-27"/>
        <c:axId val="1964968000"/>
        <c:axId val="1570289648"/>
      </c:barChart>
      <c:catAx>
        <c:axId val="1964968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70289648"/>
        <c:crosses val="autoZero"/>
        <c:auto val="1"/>
        <c:lblAlgn val="ctr"/>
        <c:lblOffset val="100"/>
        <c:noMultiLvlLbl val="0"/>
      </c:catAx>
      <c:valAx>
        <c:axId val="15702896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4968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3">
  <a:schemeClr val="accent3"/>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137160</xdr:colOff>
      <xdr:row>12</xdr:row>
      <xdr:rowOff>45720</xdr:rowOff>
    </xdr:from>
    <xdr:to>
      <xdr:col>4</xdr:col>
      <xdr:colOff>182880</xdr:colOff>
      <xdr:row>22</xdr:row>
      <xdr:rowOff>85458</xdr:rowOff>
    </xdr:to>
    <xdr:graphicFrame macro="">
      <xdr:nvGraphicFramePr>
        <xdr:cNvPr id="2" name="Chart 1">
          <a:extLst>
            <a:ext uri="{FF2B5EF4-FFF2-40B4-BE49-F238E27FC236}">
              <a16:creationId xmlns:a16="http://schemas.microsoft.com/office/drawing/2014/main" id="{F0C1AEEF-790A-49E7-A3AF-2379021B51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23</xdr:row>
      <xdr:rowOff>114300</xdr:rowOff>
    </xdr:from>
    <xdr:to>
      <xdr:col>4</xdr:col>
      <xdr:colOff>274320</xdr:colOff>
      <xdr:row>35</xdr:row>
      <xdr:rowOff>0</xdr:rowOff>
    </xdr:to>
    <xdr:graphicFrame macro="">
      <xdr:nvGraphicFramePr>
        <xdr:cNvPr id="3" name="pivot 2">
          <a:extLst>
            <a:ext uri="{FF2B5EF4-FFF2-40B4-BE49-F238E27FC236}">
              <a16:creationId xmlns:a16="http://schemas.microsoft.com/office/drawing/2014/main" id="{63655283-8D9F-4742-9ECC-50141EF35F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426720</xdr:colOff>
      <xdr:row>23</xdr:row>
      <xdr:rowOff>114300</xdr:rowOff>
    </xdr:from>
    <xdr:to>
      <xdr:col>9</xdr:col>
      <xdr:colOff>137160</xdr:colOff>
      <xdr:row>34</xdr:row>
      <xdr:rowOff>137160</xdr:rowOff>
    </xdr:to>
    <xdr:graphicFrame macro="">
      <xdr:nvGraphicFramePr>
        <xdr:cNvPr id="4" name="Chart 3">
          <a:extLst>
            <a:ext uri="{FF2B5EF4-FFF2-40B4-BE49-F238E27FC236}">
              <a16:creationId xmlns:a16="http://schemas.microsoft.com/office/drawing/2014/main" id="{33195A94-15B8-461F-9B12-4D9E629523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350520</xdr:colOff>
      <xdr:row>12</xdr:row>
      <xdr:rowOff>53340</xdr:rowOff>
    </xdr:from>
    <xdr:to>
      <xdr:col>9</xdr:col>
      <xdr:colOff>220980</xdr:colOff>
      <xdr:row>22</xdr:row>
      <xdr:rowOff>76200</xdr:rowOff>
    </xdr:to>
    <xdr:graphicFrame macro="">
      <xdr:nvGraphicFramePr>
        <xdr:cNvPr id="5" name="Chart 4">
          <a:extLst>
            <a:ext uri="{FF2B5EF4-FFF2-40B4-BE49-F238E27FC236}">
              <a16:creationId xmlns:a16="http://schemas.microsoft.com/office/drawing/2014/main" id="{17C1F3F3-D69E-4216-A445-DCE66AC8351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320040</xdr:colOff>
      <xdr:row>12</xdr:row>
      <xdr:rowOff>83820</xdr:rowOff>
    </xdr:from>
    <xdr:to>
      <xdr:col>13</xdr:col>
      <xdr:colOff>373380</xdr:colOff>
      <xdr:row>22</xdr:row>
      <xdr:rowOff>57109</xdr:rowOff>
    </xdr:to>
    <xdr:graphicFrame macro="">
      <xdr:nvGraphicFramePr>
        <xdr:cNvPr id="6" name="Chart 5">
          <a:extLst>
            <a:ext uri="{FF2B5EF4-FFF2-40B4-BE49-F238E27FC236}">
              <a16:creationId xmlns:a16="http://schemas.microsoft.com/office/drawing/2014/main" id="{6BFB0357-B599-4FA2-A5CA-56A5A32D6C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9</xdr:col>
      <xdr:colOff>525780</xdr:colOff>
      <xdr:row>23</xdr:row>
      <xdr:rowOff>83821</xdr:rowOff>
    </xdr:from>
    <xdr:to>
      <xdr:col>11</xdr:col>
      <xdr:colOff>0</xdr:colOff>
      <xdr:row>34</xdr:row>
      <xdr:rowOff>121920</xdr:rowOff>
    </xdr:to>
    <mc:AlternateContent xmlns:mc="http://schemas.openxmlformats.org/markup-compatibility/2006" xmlns:a14="http://schemas.microsoft.com/office/drawing/2010/main">
      <mc:Choice Requires="a14">
        <xdr:graphicFrame macro="">
          <xdr:nvGraphicFramePr>
            <xdr:cNvPr id="7" name="State/UTs">
              <a:extLst>
                <a:ext uri="{FF2B5EF4-FFF2-40B4-BE49-F238E27FC236}">
                  <a16:creationId xmlns:a16="http://schemas.microsoft.com/office/drawing/2014/main" id="{70E8E817-5310-E749-531D-364A7B258CC6}"/>
                </a:ext>
              </a:extLst>
            </xdr:cNvPr>
            <xdr:cNvGraphicFramePr/>
          </xdr:nvGraphicFramePr>
          <xdr:xfrm>
            <a:off x="0" y="0"/>
            <a:ext cx="0" cy="0"/>
          </xdr:xfrm>
          <a:graphic>
            <a:graphicData uri="http://schemas.microsoft.com/office/drawing/2010/slicer">
              <sle:slicer xmlns:sle="http://schemas.microsoft.com/office/drawing/2010/slicer" name="State/UTs"/>
            </a:graphicData>
          </a:graphic>
        </xdr:graphicFrame>
      </mc:Choice>
      <mc:Fallback xmlns="">
        <xdr:sp macro="" textlink="">
          <xdr:nvSpPr>
            <xdr:cNvPr id="0" name=""/>
            <xdr:cNvSpPr>
              <a:spLocks noTextEdit="1"/>
            </xdr:cNvSpPr>
          </xdr:nvSpPr>
          <xdr:spPr>
            <a:xfrm>
              <a:off x="7879080" y="4419601"/>
              <a:ext cx="1485900" cy="20497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15240</xdr:colOff>
      <xdr:row>23</xdr:row>
      <xdr:rowOff>83820</xdr:rowOff>
    </xdr:from>
    <xdr:to>
      <xdr:col>12</xdr:col>
      <xdr:colOff>685800</xdr:colOff>
      <xdr:row>34</xdr:row>
      <xdr:rowOff>129540</xdr:rowOff>
    </xdr:to>
    <mc:AlternateContent xmlns:mc="http://schemas.openxmlformats.org/markup-compatibility/2006" xmlns:a14="http://schemas.microsoft.com/office/drawing/2010/main">
      <mc:Choice Requires="a14">
        <xdr:graphicFrame macro="">
          <xdr:nvGraphicFramePr>
            <xdr:cNvPr id="8" name="Zone">
              <a:extLst>
                <a:ext uri="{FF2B5EF4-FFF2-40B4-BE49-F238E27FC236}">
                  <a16:creationId xmlns:a16="http://schemas.microsoft.com/office/drawing/2014/main" id="{359F0BDD-C881-352B-8EDA-B298BC6005F2}"/>
                </a:ext>
              </a:extLst>
            </xdr:cNvPr>
            <xdr:cNvGraphicFramePr/>
          </xdr:nvGraphicFramePr>
          <xdr:xfrm>
            <a:off x="0" y="0"/>
            <a:ext cx="0" cy="0"/>
          </xdr:xfrm>
          <a:graphic>
            <a:graphicData uri="http://schemas.microsoft.com/office/drawing/2010/slicer">
              <sle:slicer xmlns:sle="http://schemas.microsoft.com/office/drawing/2010/slicer" name="Zone"/>
            </a:graphicData>
          </a:graphic>
        </xdr:graphicFrame>
      </mc:Choice>
      <mc:Fallback xmlns="">
        <xdr:sp macro="" textlink="">
          <xdr:nvSpPr>
            <xdr:cNvPr id="0" name=""/>
            <xdr:cNvSpPr>
              <a:spLocks noTextEdit="1"/>
            </xdr:cNvSpPr>
          </xdr:nvSpPr>
          <xdr:spPr>
            <a:xfrm>
              <a:off x="9380220" y="4419600"/>
              <a:ext cx="1280160" cy="2057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388620</xdr:colOff>
      <xdr:row>3</xdr:row>
      <xdr:rowOff>144780</xdr:rowOff>
    </xdr:from>
    <xdr:to>
      <xdr:col>1</xdr:col>
      <xdr:colOff>1150620</xdr:colOff>
      <xdr:row>7</xdr:row>
      <xdr:rowOff>137160</xdr:rowOff>
    </xdr:to>
    <xdr:sp macro="" textlink="">
      <xdr:nvSpPr>
        <xdr:cNvPr id="9" name="Rectangle: Rounded Corners 8">
          <a:extLst>
            <a:ext uri="{FF2B5EF4-FFF2-40B4-BE49-F238E27FC236}">
              <a16:creationId xmlns:a16="http://schemas.microsoft.com/office/drawing/2014/main" id="{3DA0ED72-CF74-2B58-CF46-EC1A0C8EC174}"/>
            </a:ext>
          </a:extLst>
        </xdr:cNvPr>
        <xdr:cNvSpPr/>
      </xdr:nvSpPr>
      <xdr:spPr>
        <a:xfrm>
          <a:off x="388620" y="822960"/>
          <a:ext cx="1623060" cy="7239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a:t>
          </a:r>
          <a:r>
            <a:rPr lang="en-US" sz="1600" baseline="0"/>
            <a:t> cases </a:t>
          </a:r>
          <a:r>
            <a:rPr lang="en-US" sz="1600">
              <a:latin typeface="+mn-lt"/>
            </a:rPr>
            <a:t>4,562,234</a:t>
          </a:r>
        </a:p>
      </xdr:txBody>
    </xdr:sp>
    <xdr:clientData/>
  </xdr:twoCellAnchor>
  <xdr:twoCellAnchor>
    <xdr:from>
      <xdr:col>10</xdr:col>
      <xdr:colOff>510540</xdr:colOff>
      <xdr:row>3</xdr:row>
      <xdr:rowOff>144780</xdr:rowOff>
    </xdr:from>
    <xdr:to>
      <xdr:col>12</xdr:col>
      <xdr:colOff>662940</xdr:colOff>
      <xdr:row>7</xdr:row>
      <xdr:rowOff>152400</xdr:rowOff>
    </xdr:to>
    <xdr:sp macro="" textlink="pivot!N5">
      <xdr:nvSpPr>
        <xdr:cNvPr id="20" name="Rectangle: Rounded Corners 19">
          <a:extLst>
            <a:ext uri="{FF2B5EF4-FFF2-40B4-BE49-F238E27FC236}">
              <a16:creationId xmlns:a16="http://schemas.microsoft.com/office/drawing/2014/main" id="{C9CB58AB-8B1B-4697-87BF-58B2E2A1EEB3}"/>
            </a:ext>
          </a:extLst>
        </xdr:cNvPr>
        <xdr:cNvSpPr/>
      </xdr:nvSpPr>
      <xdr:spPr>
        <a:xfrm>
          <a:off x="8724900" y="822960"/>
          <a:ext cx="1912620" cy="73914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b="0" i="0" u="none" strike="noStrike">
              <a:solidFill>
                <a:schemeClr val="bg1"/>
              </a:solidFill>
              <a:latin typeface="+mn-lt"/>
              <a:ea typeface="Calibri"/>
              <a:cs typeface="Calibri"/>
            </a:rPr>
            <a:t>Population 346,616,830</a:t>
          </a:r>
          <a:endParaRPr lang="en-IN" sz="1600">
            <a:solidFill>
              <a:schemeClr val="bg1"/>
            </a:solidFill>
          </a:endParaRPr>
        </a:p>
      </xdr:txBody>
    </xdr:sp>
    <xdr:clientData/>
  </xdr:twoCellAnchor>
  <xdr:twoCellAnchor>
    <xdr:from>
      <xdr:col>5</xdr:col>
      <xdr:colOff>53340</xdr:colOff>
      <xdr:row>3</xdr:row>
      <xdr:rowOff>152400</xdr:rowOff>
    </xdr:from>
    <xdr:to>
      <xdr:col>7</xdr:col>
      <xdr:colOff>297180</xdr:colOff>
      <xdr:row>7</xdr:row>
      <xdr:rowOff>144780</xdr:rowOff>
    </xdr:to>
    <xdr:sp macro="" textlink="">
      <xdr:nvSpPr>
        <xdr:cNvPr id="22" name="Rectangle: Rounded Corners 21">
          <a:extLst>
            <a:ext uri="{FF2B5EF4-FFF2-40B4-BE49-F238E27FC236}">
              <a16:creationId xmlns:a16="http://schemas.microsoft.com/office/drawing/2014/main" id="{1F71A471-B6CF-49C3-AC0F-BCFD14391672}"/>
            </a:ext>
          </a:extLst>
        </xdr:cNvPr>
        <xdr:cNvSpPr/>
      </xdr:nvSpPr>
      <xdr:spPr>
        <a:xfrm>
          <a:off x="4457700" y="830580"/>
          <a:ext cx="1714500" cy="7239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Active Cases                   12,821</a:t>
          </a:r>
        </a:p>
      </xdr:txBody>
    </xdr:sp>
    <xdr:clientData/>
  </xdr:twoCellAnchor>
  <xdr:twoCellAnchor>
    <xdr:from>
      <xdr:col>2</xdr:col>
      <xdr:colOff>411480</xdr:colOff>
      <xdr:row>4</xdr:row>
      <xdr:rowOff>0</xdr:rowOff>
    </xdr:from>
    <xdr:to>
      <xdr:col>4</xdr:col>
      <xdr:colOff>670560</xdr:colOff>
      <xdr:row>7</xdr:row>
      <xdr:rowOff>160020</xdr:rowOff>
    </xdr:to>
    <xdr:sp macro="" textlink="">
      <xdr:nvSpPr>
        <xdr:cNvPr id="25" name="Rectangle: Rounded Corners 24">
          <a:extLst>
            <a:ext uri="{FF2B5EF4-FFF2-40B4-BE49-F238E27FC236}">
              <a16:creationId xmlns:a16="http://schemas.microsoft.com/office/drawing/2014/main" id="{85C3E0C4-F019-4C89-8B04-7C117B8936CC}"/>
            </a:ext>
          </a:extLst>
        </xdr:cNvPr>
        <xdr:cNvSpPr/>
      </xdr:nvSpPr>
      <xdr:spPr>
        <a:xfrm>
          <a:off x="2430780" y="861060"/>
          <a:ext cx="1729740" cy="70866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t>Total Deaths    57,430</a:t>
          </a:r>
        </a:p>
      </xdr:txBody>
    </xdr:sp>
    <xdr:clientData/>
  </xdr:twoCellAnchor>
  <xdr:twoCellAnchor>
    <xdr:from>
      <xdr:col>7</xdr:col>
      <xdr:colOff>697230</xdr:colOff>
      <xdr:row>3</xdr:row>
      <xdr:rowOff>152400</xdr:rowOff>
    </xdr:from>
    <xdr:to>
      <xdr:col>10</xdr:col>
      <xdr:colOff>190500</xdr:colOff>
      <xdr:row>7</xdr:row>
      <xdr:rowOff>144780</xdr:rowOff>
    </xdr:to>
    <xdr:sp macro="" textlink="">
      <xdr:nvSpPr>
        <xdr:cNvPr id="21" name="Rectangle: Rounded Corners 20">
          <a:extLst>
            <a:ext uri="{FF2B5EF4-FFF2-40B4-BE49-F238E27FC236}">
              <a16:creationId xmlns:a16="http://schemas.microsoft.com/office/drawing/2014/main" id="{D50CEDA1-C4A2-40EE-A0A3-6ED2BFA9C699}"/>
            </a:ext>
          </a:extLst>
        </xdr:cNvPr>
        <xdr:cNvSpPr/>
      </xdr:nvSpPr>
      <xdr:spPr>
        <a:xfrm>
          <a:off x="6572250" y="830580"/>
          <a:ext cx="1832610" cy="723900"/>
        </a:xfrm>
        <a:prstGeom prst="roundRect">
          <a:avLst/>
        </a:prstGeom>
        <a:solidFill>
          <a:srgbClr val="00206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600">
              <a:solidFill>
                <a:schemeClr val="bg1"/>
              </a:solidFill>
              <a:latin typeface="+mn-lt"/>
            </a:rPr>
            <a:t>Total</a:t>
          </a:r>
          <a:r>
            <a:rPr lang="en-US" sz="1600" baseline="0">
              <a:solidFill>
                <a:schemeClr val="bg1"/>
              </a:solidFill>
              <a:latin typeface="+mn-lt"/>
            </a:rPr>
            <a:t> Discharged </a:t>
          </a:r>
          <a:r>
            <a:rPr lang="en-US" sz="1600">
              <a:solidFill>
                <a:schemeClr val="bg1"/>
              </a:solidFill>
              <a:latin typeface="+mn-lt"/>
            </a:rPr>
            <a:t>4,491,983</a:t>
          </a:r>
        </a:p>
      </xdr:txBody>
    </xdr: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ohd Azeez" refreshedDate="46219.845824189812" createdVersion="8" refreshedVersion="8" minRefreshableVersion="3" recordCount="36" xr:uid="{1DFF66ED-DF93-4CFC-B09E-A70406200E7A}">
  <cacheSource type="worksheet">
    <worksheetSource name="CovidData"/>
  </cacheSource>
  <cacheFields count="12">
    <cacheField name="State/UTs" numFmtId="0">
      <sharedItems count="36">
        <s v="Andaman and Nicobar"/>
        <s v="Andhra Pradesh"/>
        <s v="Arunachal Pradesh"/>
        <s v="Assam"/>
        <s v="Bihar"/>
        <s v="Chandigarh"/>
        <s v="Chhattisgarh"/>
        <s v="Daman and Diu"/>
        <s v="Delhi"/>
        <s v="Goa"/>
        <s v="Gujarat"/>
        <s v="Haryana"/>
        <s v="Himachal Pradesh"/>
        <s v="Jammu and Kashmir"/>
        <s v="Jharkhand"/>
        <s v="Karnataka"/>
        <s v="Kerala"/>
        <s v="Ladakh"/>
        <s v="Lakshadweep"/>
        <s v="Madhya Pradesh"/>
        <s v="Maharashtra"/>
        <s v="Manipur"/>
        <s v="Meghalaya"/>
        <s v="Mizoram"/>
        <s v="Nagaland"/>
        <s v="Odisha"/>
        <s v="Puducherry"/>
        <s v="Punjab"/>
        <s v="Rajasthan"/>
        <s v="Sikkim"/>
        <s v="Tamil Nadu"/>
        <s v="Telengana"/>
        <s v="Tripura"/>
        <s v="Uttar Pradesh"/>
        <s v="Uttarakhand"/>
        <s v="West Bengal"/>
      </sharedItems>
    </cacheField>
    <cacheField name="Zone" numFmtId="0">
      <sharedItems count="4">
        <s v="South"/>
        <s v="East"/>
        <s v="North"/>
        <s v="West"/>
      </sharedItems>
    </cacheField>
    <cacheField name="Total Cases" numFmtId="0">
      <sharedItems containsSemiMixedTypes="0" containsString="0" containsNumber="1" containsInteger="1" minValue="7670" maxValue="6623344"/>
    </cacheField>
    <cacheField name="Active" numFmtId="0">
      <sharedItems containsSemiMixedTypes="0" containsString="0" containsNumber="1" containsInteger="1" minValue="0" maxValue="69258"/>
    </cacheField>
    <cacheField name="Discharged" numFmtId="0">
      <sharedItems containsSemiMixedTypes="0" containsString="0" containsNumber="1" containsInteger="1" minValue="7534" maxValue="6466913"/>
    </cacheField>
    <cacheField name="Deaths" numFmtId="0">
      <sharedItems containsSemiMixedTypes="0" containsString="0" containsNumber="1" containsInteger="1" minValue="4" maxValue="140565"/>
    </cacheField>
    <cacheField name="Active Ratio" numFmtId="0">
      <sharedItems containsSemiMixedTypes="0" containsString="0" containsNumber="1" minValue="0" maxValue="4.3899999999999997"/>
    </cacheField>
    <cacheField name="Discharge Ratio" numFmtId="0">
      <sharedItems containsSemiMixedTypes="0" containsString="0" containsNumber="1" minValue="95.25" maxValue="99.96"/>
    </cacheField>
    <cacheField name="Discharge Avg" numFmtId="0">
      <sharedItems/>
    </cacheField>
    <cacheField name="Death Ratio" numFmtId="0">
      <sharedItems containsSemiMixedTypes="0" containsString="0" containsNumber="1" minValue="0.04" maxValue="2.75"/>
    </cacheField>
    <cacheField name="Death Avg" numFmtId="0">
      <sharedItems/>
    </cacheField>
    <cacheField name="Population" numFmtId="0">
      <sharedItems containsSemiMixedTypes="0" containsString="0" containsNumber="1" containsInteger="1" minValue="66001" maxValue="231502578"/>
    </cacheField>
  </cacheFields>
  <extLst>
    <ext xmlns:x14="http://schemas.microsoft.com/office/spreadsheetml/2009/9/main" uri="{725AE2AE-9491-48be-B2B4-4EB974FC3084}">
      <x14:pivotCacheDefinition pivotCacheId="1588287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x v="0"/>
    <n v="7670"/>
    <n v="7"/>
    <n v="7534"/>
    <n v="129"/>
    <n v="0.09"/>
    <n v="98.23"/>
    <s v="Below Average"/>
    <n v="1.68"/>
    <s v="Above Average"/>
    <n v="399001"/>
  </r>
  <r>
    <x v="1"/>
    <x v="0"/>
    <n v="2069770"/>
    <n v="3128"/>
    <n v="2052230"/>
    <n v="14412"/>
    <n v="0.15"/>
    <n v="99.15"/>
    <s v="Above Average"/>
    <n v="0.7"/>
    <s v="Below Average"/>
    <n v="91702478"/>
  </r>
  <r>
    <x v="2"/>
    <x v="1"/>
    <n v="55216"/>
    <n v="42"/>
    <n v="54894"/>
    <n v="280"/>
    <n v="0.08"/>
    <n v="99.42"/>
    <s v="Above Average"/>
    <n v="0.51"/>
    <s v="Below Average"/>
    <n v="1711947"/>
  </r>
  <r>
    <x v="3"/>
    <x v="1"/>
    <n v="613784"/>
    <n v="3272"/>
    <n v="604465"/>
    <n v="6047"/>
    <n v="0.53"/>
    <n v="98.48"/>
    <s v="Above Average"/>
    <n v="0.99"/>
    <s v="Below Average"/>
    <n v="35998752"/>
  </r>
  <r>
    <x v="4"/>
    <x v="1"/>
    <n v="726153"/>
    <n v="29"/>
    <n v="716462"/>
    <n v="9662"/>
    <n v="0"/>
    <n v="98.67"/>
    <s v="Above Average"/>
    <n v="1.33"/>
    <s v="Above Average"/>
    <n v="128500364"/>
  </r>
  <r>
    <x v="5"/>
    <x v="2"/>
    <n v="65380"/>
    <n v="24"/>
    <n v="64536"/>
    <n v="820"/>
    <n v="0.04"/>
    <n v="98.71"/>
    <s v="Above Average"/>
    <n v="1.25"/>
    <s v="Below Average"/>
    <n v="1158040"/>
  </r>
  <r>
    <x v="6"/>
    <x v="1"/>
    <n v="1006326"/>
    <n v="230"/>
    <n v="992508"/>
    <n v="13588"/>
    <n v="0.02"/>
    <n v="98.63"/>
    <s v="Above Average"/>
    <n v="1.35"/>
    <s v="Above Average"/>
    <n v="32199722"/>
  </r>
  <r>
    <x v="7"/>
    <x v="3"/>
    <n v="10682"/>
    <n v="0"/>
    <n v="10678"/>
    <n v="4"/>
    <n v="0"/>
    <n v="99.96"/>
    <s v="Above Average"/>
    <n v="0.04"/>
    <s v="Below Average"/>
    <n v="773997"/>
  </r>
  <r>
    <x v="8"/>
    <x v="2"/>
    <n v="1440388"/>
    <n v="361"/>
    <n v="1414934"/>
    <n v="25093"/>
    <n v="0.03"/>
    <n v="98.23"/>
    <s v="Below Average"/>
    <n v="1.74"/>
    <s v="Above Average"/>
    <n v="19301096"/>
  </r>
  <r>
    <x v="9"/>
    <x v="3"/>
    <n v="178467"/>
    <n v="263"/>
    <n v="174830"/>
    <n v="3374"/>
    <n v="0.15"/>
    <n v="97.96"/>
    <s v="Below Average"/>
    <n v="1.89"/>
    <s v="Above Average"/>
    <n v="1521992"/>
  </r>
  <r>
    <x v="10"/>
    <x v="3"/>
    <n v="826924"/>
    <n v="226"/>
    <n v="816608"/>
    <n v="10090"/>
    <n v="0.03"/>
    <n v="98.75"/>
    <s v="Above Average"/>
    <n v="1.22"/>
    <s v="Below Average"/>
    <n v="70400153"/>
  </r>
  <r>
    <x v="11"/>
    <x v="2"/>
    <n v="771420"/>
    <n v="140"/>
    <n v="761230"/>
    <n v="10050"/>
    <n v="0.02"/>
    <n v="98.68"/>
    <s v="Above Average"/>
    <n v="1.3"/>
    <s v="Above Average"/>
    <n v="28900667"/>
  </r>
  <r>
    <x v="12"/>
    <x v="2"/>
    <n v="225712"/>
    <n v="1100"/>
    <n v="220800"/>
    <n v="3812"/>
    <n v="0.49"/>
    <n v="97.82"/>
    <s v="Below Average"/>
    <n v="1.69"/>
    <s v="Above Average"/>
    <n v="7503010"/>
  </r>
  <r>
    <x v="13"/>
    <x v="2"/>
    <n v="334006"/>
    <n v="1450"/>
    <n v="328108"/>
    <n v="4448"/>
    <n v="0.43"/>
    <n v="98.23"/>
    <s v="Below Average"/>
    <n v="1.33"/>
    <s v="Above Average"/>
    <n v="14999397"/>
  </r>
  <r>
    <x v="14"/>
    <x v="1"/>
    <n v="348992"/>
    <n v="141"/>
    <n v="343713"/>
    <n v="5138"/>
    <n v="0.04"/>
    <n v="98.49"/>
    <s v="Above Average"/>
    <n v="1.47"/>
    <s v="Above Average"/>
    <n v="40100376"/>
  </r>
  <r>
    <x v="15"/>
    <x v="0"/>
    <n v="2991614"/>
    <n v="8056"/>
    <n v="2945415"/>
    <n v="38143"/>
    <n v="0.27"/>
    <n v="98.46"/>
    <s v="Above Average"/>
    <n v="1.27"/>
    <s v="Below Average"/>
    <n v="69599762"/>
  </r>
  <r>
    <x v="16"/>
    <x v="0"/>
    <n v="5055224"/>
    <n v="69258"/>
    <n v="4950281"/>
    <n v="35685"/>
    <n v="1.37"/>
    <n v="97.92"/>
    <s v="Below Average"/>
    <n v="0.71"/>
    <s v="Below Average"/>
    <n v="34698876"/>
  </r>
  <r>
    <x v="17"/>
    <x v="2"/>
    <n v="21148"/>
    <n v="154"/>
    <n v="20783"/>
    <n v="211"/>
    <n v="0.73"/>
    <n v="98.27"/>
    <s v="Below Average"/>
    <n v="1"/>
    <s v="Below Average"/>
    <n v="290492"/>
  </r>
  <r>
    <x v="18"/>
    <x v="0"/>
    <n v="10365"/>
    <n v="0"/>
    <n v="10314"/>
    <n v="51"/>
    <n v="0"/>
    <n v="99.51"/>
    <s v="Above Average"/>
    <n v="0.49"/>
    <s v="Below Average"/>
    <n v="66001"/>
  </r>
  <r>
    <x v="19"/>
    <x v="3"/>
    <n v="792956"/>
    <n v="75"/>
    <n v="782357"/>
    <n v="10524"/>
    <n v="0.01"/>
    <n v="98.66"/>
    <s v="Above Average"/>
    <n v="1.33"/>
    <s v="Above Average"/>
    <n v="85002417"/>
  </r>
  <r>
    <x v="20"/>
    <x v="3"/>
    <n v="6623344"/>
    <n v="15866"/>
    <n v="6466913"/>
    <n v="140565"/>
    <n v="0.24"/>
    <n v="97.64"/>
    <s v="Below Average"/>
    <n v="2.12"/>
    <s v="Above Average"/>
    <n v="124904071"/>
  </r>
  <r>
    <x v="21"/>
    <x v="1"/>
    <n v="124432"/>
    <n v="799"/>
    <n v="121687"/>
    <n v="1946"/>
    <n v="0.64"/>
    <n v="97.79"/>
    <s v="Below Average"/>
    <n v="1.56"/>
    <s v="Above Average"/>
    <n v="3436948"/>
  </r>
  <r>
    <x v="22"/>
    <x v="1"/>
    <n v="84013"/>
    <n v="277"/>
    <n v="82274"/>
    <n v="1462"/>
    <n v="0.33"/>
    <n v="97.93"/>
    <s v="Below Average"/>
    <n v="1.74"/>
    <s v="Above Average"/>
    <n v="3772103"/>
  </r>
  <r>
    <x v="23"/>
    <x v="1"/>
    <n v="128604"/>
    <n v="5651"/>
    <n v="122494"/>
    <n v="459"/>
    <n v="4.3899999999999997"/>
    <n v="95.25"/>
    <s v="Below Average"/>
    <n v="0.36"/>
    <s v="Below Average"/>
    <n v="1308967"/>
  </r>
  <r>
    <x v="24"/>
    <x v="1"/>
    <n v="31978"/>
    <n v="163"/>
    <n v="31123"/>
    <n v="692"/>
    <n v="0.51"/>
    <n v="97.33"/>
    <s v="Below Average"/>
    <n v="2.16"/>
    <s v="Above Average"/>
    <n v="2073074"/>
  </r>
  <r>
    <x v="25"/>
    <x v="1"/>
    <n v="1045209"/>
    <n v="2534"/>
    <n v="1034300"/>
    <n v="8375"/>
    <n v="0.24"/>
    <n v="98.96"/>
    <s v="Above Average"/>
    <n v="0.8"/>
    <s v="Below Average"/>
    <n v="47099270"/>
  </r>
  <r>
    <x v="26"/>
    <x v="0"/>
    <n v="128401"/>
    <n v="275"/>
    <n v="126263"/>
    <n v="1863"/>
    <n v="0.21"/>
    <n v="98.33"/>
    <s v="Below Average"/>
    <n v="1.45"/>
    <s v="Above Average"/>
    <n v="1646050"/>
  </r>
  <r>
    <x v="27"/>
    <x v="2"/>
    <n v="602778"/>
    <n v="318"/>
    <n v="585889"/>
    <n v="16571"/>
    <n v="0.05"/>
    <n v="97.2"/>
    <s v="Below Average"/>
    <n v="2.75"/>
    <s v="Above Average"/>
    <n v="30501026"/>
  </r>
  <r>
    <x v="28"/>
    <x v="3"/>
    <n v="954503"/>
    <n v="71"/>
    <n v="945478"/>
    <n v="8954"/>
    <n v="0.01"/>
    <n v="99.05"/>
    <s v="Above Average"/>
    <n v="0.94"/>
    <s v="Below Average"/>
    <n v="79502477"/>
  </r>
  <r>
    <x v="29"/>
    <x v="1"/>
    <n v="32096"/>
    <n v="121"/>
    <n v="31575"/>
    <n v="400"/>
    <n v="0.38"/>
    <n v="98.38"/>
    <s v="Above Average"/>
    <n v="1.25"/>
    <s v="Below Average"/>
    <n v="658019"/>
  </r>
  <r>
    <x v="30"/>
    <x v="0"/>
    <n v="2714025"/>
    <n v="9751"/>
    <n v="2668001"/>
    <n v="36273"/>
    <n v="0.36"/>
    <n v="98.3"/>
    <s v="Below Average"/>
    <n v="1.34"/>
    <s v="Above Average"/>
    <n v="83697770"/>
  </r>
  <r>
    <x v="31"/>
    <x v="0"/>
    <n v="673469"/>
    <n v="3741"/>
    <n v="665755"/>
    <n v="3973"/>
    <n v="0.56000000000000005"/>
    <n v="98.85"/>
    <s v="Above Average"/>
    <n v="0.59"/>
    <s v="Below Average"/>
    <n v="38157311"/>
  </r>
  <r>
    <x v="32"/>
    <x v="1"/>
    <n v="84665"/>
    <n v="116"/>
    <n v="83732"/>
    <n v="817"/>
    <n v="0.14000000000000001"/>
    <n v="98.9"/>
    <s v="Above Average"/>
    <n v="0.96"/>
    <s v="Below Average"/>
    <n v="4184959"/>
  </r>
  <r>
    <x v="33"/>
    <x v="2"/>
    <n v="1710261"/>
    <n v="90"/>
    <n v="1687262"/>
    <n v="22909"/>
    <n v="0.01"/>
    <n v="98.66"/>
    <s v="Above Average"/>
    <n v="1.34"/>
    <s v="Above Average"/>
    <n v="231502578"/>
  </r>
  <r>
    <x v="34"/>
    <x v="2"/>
    <n v="344014"/>
    <n v="158"/>
    <n v="336453"/>
    <n v="7403"/>
    <n v="0.05"/>
    <n v="97.8"/>
    <s v="Below Average"/>
    <n v="2.15"/>
    <s v="Above Average"/>
    <n v="11700099"/>
  </r>
  <r>
    <x v="35"/>
    <x v="1"/>
    <n v="1603318"/>
    <n v="8031"/>
    <n v="1575980"/>
    <n v="19307"/>
    <n v="0.5"/>
    <n v="98.29"/>
    <s v="Below Average"/>
    <n v="1.2"/>
    <s v="Below Average"/>
    <n v="1008966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1F4500-BFFA-4EDE-8892-C4CFE7C2B5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G3:H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dataField="1"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Active" fld="3"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6EFB6FC-6D9E-4460-8492-85E303917451}"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3:K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dataField="1"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Discharged" fld="4"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34D843-4454-40FB-AADD-2F288B1C061D}"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M3:N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showAll="0"/>
    <pivotField showAll="0"/>
    <pivotField showAll="0"/>
    <pivotField showAll="0"/>
    <pivotField showAll="0"/>
    <pivotField showAll="0"/>
    <pivotField showAll="0"/>
    <pivotField showAll="0"/>
    <pivotField showAll="0"/>
    <pivotField dataField="1" showAll="0"/>
  </pivotFields>
  <rowFields count="1">
    <field x="1"/>
  </rowFields>
  <rowItems count="5">
    <i>
      <x/>
    </i>
    <i>
      <x v="1"/>
    </i>
    <i>
      <x v="2"/>
    </i>
    <i>
      <x v="3"/>
    </i>
    <i t="grand">
      <x/>
    </i>
  </rowItems>
  <colItems count="1">
    <i/>
  </colItems>
  <dataFields count="1">
    <dataField name="Sum of Population"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CC3CB9E-95A5-4F6E-A0D3-9044E3A28E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Row labels">
  <location ref="A3:B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items count="5">
        <item x="1"/>
        <item x="2"/>
        <item x="0"/>
        <item x="3"/>
        <item t="default"/>
      </items>
    </pivotField>
    <pivotField dataField="1"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Total Cases" fld="2"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B56CE50-DDD2-4F64-AFD0-8A1DC83A0DB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D3:E8" firstHeaderRow="1" firstDataRow="1" firstDataCol="1"/>
  <pivotFields count="12">
    <pivotField showAll="0">
      <items count="3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t="default"/>
      </items>
    </pivotField>
    <pivotField axis="axisRow" showAll="0" sortType="ascending">
      <items count="5">
        <item x="1"/>
        <item x="2"/>
        <item x="0"/>
        <item x="3"/>
        <item t="default"/>
      </items>
    </pivotField>
    <pivotField showAll="0"/>
    <pivotField showAll="0"/>
    <pivotField showAll="0"/>
    <pivotField dataField="1" showAll="0"/>
    <pivotField showAll="0"/>
    <pivotField showAll="0"/>
    <pivotField showAll="0"/>
    <pivotField showAll="0"/>
    <pivotField showAll="0"/>
    <pivotField showAll="0"/>
  </pivotFields>
  <rowFields count="1">
    <field x="1"/>
  </rowFields>
  <rowItems count="5">
    <i>
      <x/>
    </i>
    <i>
      <x v="1"/>
    </i>
    <i>
      <x v="2"/>
    </i>
    <i>
      <x v="3"/>
    </i>
    <i t="grand">
      <x/>
    </i>
  </rowItems>
  <colItems count="1">
    <i/>
  </colItems>
  <dataFields count="1">
    <dataField name="Sum of Deaths" fld="5" baseField="0" baseItem="0"/>
  </dataFields>
  <chartFormats count="1">
    <chartFormat chart="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_UTs" xr10:uid="{3D648B2B-E875-40B4-AE5A-4012432E234B}" sourceName="State/UTs">
  <pivotTables>
    <pivotTable tabId="2" name="PivotTable5"/>
    <pivotTable tabId="2" name="PivotTable4"/>
    <pivotTable tabId="2" name="PivotTable3"/>
    <pivotTable tabId="2" name="PivotTable2"/>
    <pivotTable tabId="2" name="PivotTable1"/>
  </pivotTables>
  <data>
    <tabular pivotCacheId="1588287974">
      <items count="36">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Zone" xr10:uid="{E2111824-49CA-4CD3-AFF6-E7774E0B66C8}" sourceName="Zone">
  <pivotTables>
    <pivotTable tabId="2" name="PivotTable5"/>
    <pivotTable tabId="2" name="PivotTable4"/>
    <pivotTable tabId="2" name="PivotTable3"/>
    <pivotTable tabId="2" name="PivotTable2"/>
    <pivotTable tabId="2" name="PivotTable1"/>
  </pivotTables>
  <data>
    <tabular pivotCacheId="1588287974">
      <items count="4">
        <i x="1" s="1"/>
        <i x="2"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UTs" xr10:uid="{15F1977A-1741-4863-BC0A-8583F05981EE}" cache="Slicer_State_UTs" caption="State/UTs" startItem="13" rowHeight="234950"/>
  <slicer name="Zone" xr10:uid="{353792C5-D335-4658-9466-C9D6739F6B15}" cache="Slicer_Zone" caption="Zon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A51741F-F134-4860-A87C-591E3F537ED4}" name="CovidData" displayName="CovidData" ref="A1:L37" totalsRowShown="0" headerRowDxfId="0">
  <autoFilter ref="A1:L37" xr:uid="{5A51741F-F134-4860-A87C-591E3F537ED4}"/>
  <tableColumns count="12">
    <tableColumn id="1" xr3:uid="{5AFC45C7-0E59-4897-8FBE-F00E3136DA5A}" name="State/UTs"/>
    <tableColumn id="2" xr3:uid="{7B7E812B-FCEC-472D-BF45-73D71A964AC4}" name="Zone"/>
    <tableColumn id="3" xr3:uid="{F2B20797-D1EE-4D8C-ACAA-5296AEA6FCEB}" name="Total Cases"/>
    <tableColumn id="4" xr3:uid="{0A070927-7FA5-4F63-8B6D-C9DB285DC84F}" name="Active"/>
    <tableColumn id="5" xr3:uid="{F7A96D26-B398-4A59-BA4A-AA88F1D9838E}" name="Discharged"/>
    <tableColumn id="6" xr3:uid="{A685B96F-3C9B-40EB-9256-368D8DBF210B}" name="Deaths"/>
    <tableColumn id="7" xr3:uid="{1014B343-AEF0-4E12-9ADC-30E0A0F0449A}" name="Active Ratio"/>
    <tableColumn id="8" xr3:uid="{72847B56-3F84-452F-870A-04DFFE195A01}" name="Discharge Ratio"/>
    <tableColumn id="9" xr3:uid="{F8BD1D1F-D8E9-4BC9-ADC6-C54AB6E9F521}" name="Discharge Avg"/>
    <tableColumn id="10" xr3:uid="{2373B3A0-96C2-4D5F-AC94-1A503715EF34}" name="Death Ratio"/>
    <tableColumn id="11" xr3:uid="{C135C017-2473-48AC-9A77-3F1231E32AA7}" name="Death Avg"/>
    <tableColumn id="12" xr3:uid="{AAC6D14C-B0FB-47F0-B53E-BA42FDB49164}" name="Populatio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7"/>
  <sheetViews>
    <sheetView workbookViewId="0">
      <pane xSplit="1" ySplit="1" topLeftCell="B2" activePane="bottomRight" state="frozen"/>
      <selection pane="topRight" activeCell="B1" sqref="B1"/>
      <selection pane="bottomLeft" activeCell="A2" sqref="A2"/>
      <selection pane="bottomRight" activeCell="A2" sqref="A2:L37"/>
    </sheetView>
  </sheetViews>
  <sheetFormatPr defaultColWidth="0" defaultRowHeight="14.4" zeroHeight="1" x14ac:dyDescent="0.3"/>
  <cols>
    <col min="1" max="1" width="19.21875" bestFit="1" customWidth="1"/>
    <col min="2" max="2" width="8.33203125" customWidth="1"/>
    <col min="3" max="3" width="14.6640625" customWidth="1"/>
    <col min="4" max="4" width="9.6640625" customWidth="1"/>
    <col min="5" max="5" width="14.6640625" customWidth="1"/>
    <col min="6" max="6" width="10.33203125" customWidth="1"/>
    <col min="7" max="7" width="15.77734375" customWidth="1"/>
    <col min="8" max="8" width="19.44140625" customWidth="1"/>
    <col min="9" max="9" width="17.88671875" customWidth="1"/>
    <col min="10" max="10" width="15.44140625" customWidth="1"/>
    <col min="11" max="11" width="13.88671875" customWidth="1"/>
    <col min="12" max="12" width="14.33203125" customWidth="1"/>
    <col min="13" max="16384" width="8.88671875" hidden="1"/>
  </cols>
  <sheetData>
    <row r="1" spans="1:12" ht="18" x14ac:dyDescent="0.35">
      <c r="A1" s="1" t="s">
        <v>0</v>
      </c>
      <c r="B1" s="1" t="s">
        <v>1</v>
      </c>
      <c r="C1" s="1" t="s">
        <v>2</v>
      </c>
      <c r="D1" s="1" t="s">
        <v>3</v>
      </c>
      <c r="E1" s="1" t="s">
        <v>4</v>
      </c>
      <c r="F1" s="1" t="s">
        <v>5</v>
      </c>
      <c r="G1" s="1" t="s">
        <v>6</v>
      </c>
      <c r="H1" s="1" t="s">
        <v>7</v>
      </c>
      <c r="I1" s="1" t="s">
        <v>8</v>
      </c>
      <c r="J1" s="1" t="s">
        <v>9</v>
      </c>
      <c r="K1" s="1" t="s">
        <v>10</v>
      </c>
      <c r="L1" s="1" t="s">
        <v>11</v>
      </c>
    </row>
    <row r="2" spans="1:12" x14ac:dyDescent="0.3">
      <c r="A2" t="s">
        <v>12</v>
      </c>
      <c r="B2" t="s">
        <v>13</v>
      </c>
      <c r="C2">
        <v>7670</v>
      </c>
      <c r="D2">
        <v>7</v>
      </c>
      <c r="E2">
        <v>7534</v>
      </c>
      <c r="F2">
        <v>129</v>
      </c>
      <c r="G2">
        <v>0.09</v>
      </c>
      <c r="H2">
        <v>98.23</v>
      </c>
      <c r="I2" t="s">
        <v>52</v>
      </c>
      <c r="J2">
        <v>1.68</v>
      </c>
      <c r="K2" t="s">
        <v>53</v>
      </c>
      <c r="L2">
        <v>399001</v>
      </c>
    </row>
    <row r="3" spans="1:12" x14ac:dyDescent="0.3">
      <c r="A3" t="s">
        <v>14</v>
      </c>
      <c r="B3" t="s">
        <v>13</v>
      </c>
      <c r="C3">
        <v>2069770</v>
      </c>
      <c r="D3">
        <v>3128</v>
      </c>
      <c r="E3">
        <v>2052230</v>
      </c>
      <c r="F3">
        <v>14412</v>
      </c>
      <c r="G3">
        <v>0.15</v>
      </c>
      <c r="H3">
        <v>99.15</v>
      </c>
      <c r="I3" t="s">
        <v>53</v>
      </c>
      <c r="J3">
        <v>0.7</v>
      </c>
      <c r="K3" t="s">
        <v>52</v>
      </c>
      <c r="L3">
        <v>91702478</v>
      </c>
    </row>
    <row r="4" spans="1:12" x14ac:dyDescent="0.3">
      <c r="A4" t="s">
        <v>15</v>
      </c>
      <c r="B4" t="s">
        <v>16</v>
      </c>
      <c r="C4">
        <v>55216</v>
      </c>
      <c r="D4">
        <v>42</v>
      </c>
      <c r="E4">
        <v>54894</v>
      </c>
      <c r="F4">
        <v>280</v>
      </c>
      <c r="G4">
        <v>0.08</v>
      </c>
      <c r="H4">
        <v>99.42</v>
      </c>
      <c r="I4" t="s">
        <v>53</v>
      </c>
      <c r="J4">
        <v>0.51</v>
      </c>
      <c r="K4" t="s">
        <v>52</v>
      </c>
      <c r="L4">
        <v>1711947</v>
      </c>
    </row>
    <row r="5" spans="1:12" x14ac:dyDescent="0.3">
      <c r="A5" t="s">
        <v>17</v>
      </c>
      <c r="B5" t="s">
        <v>16</v>
      </c>
      <c r="C5">
        <v>613784</v>
      </c>
      <c r="D5">
        <v>3272</v>
      </c>
      <c r="E5">
        <v>604465</v>
      </c>
      <c r="F5">
        <v>6047</v>
      </c>
      <c r="G5">
        <v>0.53</v>
      </c>
      <c r="H5">
        <v>98.48</v>
      </c>
      <c r="I5" t="s">
        <v>53</v>
      </c>
      <c r="J5">
        <v>0.99</v>
      </c>
      <c r="K5" t="s">
        <v>52</v>
      </c>
      <c r="L5">
        <v>35998752</v>
      </c>
    </row>
    <row r="6" spans="1:12" x14ac:dyDescent="0.3">
      <c r="A6" t="s">
        <v>18</v>
      </c>
      <c r="B6" t="s">
        <v>16</v>
      </c>
      <c r="C6">
        <v>726153</v>
      </c>
      <c r="D6">
        <v>29</v>
      </c>
      <c r="E6">
        <v>716462</v>
      </c>
      <c r="F6">
        <v>9662</v>
      </c>
      <c r="G6">
        <v>0</v>
      </c>
      <c r="H6">
        <v>98.67</v>
      </c>
      <c r="I6" t="s">
        <v>53</v>
      </c>
      <c r="J6">
        <v>1.33</v>
      </c>
      <c r="K6" t="s">
        <v>53</v>
      </c>
      <c r="L6">
        <v>128500364</v>
      </c>
    </row>
    <row r="7" spans="1:12" x14ac:dyDescent="0.3">
      <c r="A7" t="s">
        <v>19</v>
      </c>
      <c r="B7" t="s">
        <v>20</v>
      </c>
      <c r="C7">
        <v>65380</v>
      </c>
      <c r="D7">
        <v>24</v>
      </c>
      <c r="E7">
        <v>64536</v>
      </c>
      <c r="F7">
        <v>820</v>
      </c>
      <c r="G7">
        <v>0.04</v>
      </c>
      <c r="H7">
        <v>98.71</v>
      </c>
      <c r="I7" t="s">
        <v>53</v>
      </c>
      <c r="J7">
        <v>1.25</v>
      </c>
      <c r="K7" t="s">
        <v>52</v>
      </c>
      <c r="L7">
        <v>1158040</v>
      </c>
    </row>
    <row r="8" spans="1:12" x14ac:dyDescent="0.3">
      <c r="A8" t="s">
        <v>21</v>
      </c>
      <c r="B8" t="s">
        <v>16</v>
      </c>
      <c r="C8">
        <v>1006326</v>
      </c>
      <c r="D8">
        <v>230</v>
      </c>
      <c r="E8">
        <v>992508</v>
      </c>
      <c r="F8">
        <v>13588</v>
      </c>
      <c r="G8">
        <v>0.02</v>
      </c>
      <c r="H8">
        <v>98.63</v>
      </c>
      <c r="I8" t="s">
        <v>53</v>
      </c>
      <c r="J8">
        <v>1.35</v>
      </c>
      <c r="K8" t="s">
        <v>53</v>
      </c>
      <c r="L8">
        <v>32199722</v>
      </c>
    </row>
    <row r="9" spans="1:12" x14ac:dyDescent="0.3">
      <c r="A9" t="s">
        <v>22</v>
      </c>
      <c r="B9" t="s">
        <v>23</v>
      </c>
      <c r="C9">
        <v>10682</v>
      </c>
      <c r="D9">
        <v>0</v>
      </c>
      <c r="E9">
        <v>10678</v>
      </c>
      <c r="F9">
        <v>4</v>
      </c>
      <c r="G9">
        <v>0</v>
      </c>
      <c r="H9">
        <v>99.96</v>
      </c>
      <c r="I9" t="s">
        <v>53</v>
      </c>
      <c r="J9">
        <v>0.04</v>
      </c>
      <c r="K9" t="s">
        <v>52</v>
      </c>
      <c r="L9">
        <v>773997</v>
      </c>
    </row>
    <row r="10" spans="1:12" x14ac:dyDescent="0.3">
      <c r="A10" t="s">
        <v>24</v>
      </c>
      <c r="B10" t="s">
        <v>20</v>
      </c>
      <c r="C10">
        <v>1440388</v>
      </c>
      <c r="D10">
        <v>361</v>
      </c>
      <c r="E10">
        <v>1414934</v>
      </c>
      <c r="F10">
        <v>25093</v>
      </c>
      <c r="G10">
        <v>0.03</v>
      </c>
      <c r="H10">
        <v>98.23</v>
      </c>
      <c r="I10" t="s">
        <v>52</v>
      </c>
      <c r="J10">
        <v>1.74</v>
      </c>
      <c r="K10" t="s">
        <v>53</v>
      </c>
      <c r="L10">
        <v>19301096</v>
      </c>
    </row>
    <row r="11" spans="1:12" x14ac:dyDescent="0.3">
      <c r="A11" t="s">
        <v>25</v>
      </c>
      <c r="B11" t="s">
        <v>23</v>
      </c>
      <c r="C11">
        <v>178467</v>
      </c>
      <c r="D11">
        <v>263</v>
      </c>
      <c r="E11">
        <v>174830</v>
      </c>
      <c r="F11">
        <v>3374</v>
      </c>
      <c r="G11">
        <v>0.15</v>
      </c>
      <c r="H11">
        <v>97.96</v>
      </c>
      <c r="I11" t="s">
        <v>52</v>
      </c>
      <c r="J11">
        <v>1.89</v>
      </c>
      <c r="K11" t="s">
        <v>53</v>
      </c>
      <c r="L11">
        <v>1521992</v>
      </c>
    </row>
    <row r="12" spans="1:12" x14ac:dyDescent="0.3">
      <c r="A12" t="s">
        <v>26</v>
      </c>
      <c r="B12" t="s">
        <v>23</v>
      </c>
      <c r="C12">
        <v>826924</v>
      </c>
      <c r="D12">
        <v>226</v>
      </c>
      <c r="E12">
        <v>816608</v>
      </c>
      <c r="F12">
        <v>10090</v>
      </c>
      <c r="G12">
        <v>0.03</v>
      </c>
      <c r="H12">
        <v>98.75</v>
      </c>
      <c r="I12" t="s">
        <v>53</v>
      </c>
      <c r="J12">
        <v>1.22</v>
      </c>
      <c r="K12" t="s">
        <v>52</v>
      </c>
      <c r="L12">
        <v>70400153</v>
      </c>
    </row>
    <row r="13" spans="1:12" x14ac:dyDescent="0.3">
      <c r="A13" t="s">
        <v>27</v>
      </c>
      <c r="B13" t="s">
        <v>20</v>
      </c>
      <c r="C13">
        <v>771420</v>
      </c>
      <c r="D13">
        <v>140</v>
      </c>
      <c r="E13">
        <v>761230</v>
      </c>
      <c r="F13">
        <v>10050</v>
      </c>
      <c r="G13">
        <v>0.02</v>
      </c>
      <c r="H13">
        <v>98.68</v>
      </c>
      <c r="I13" t="s">
        <v>53</v>
      </c>
      <c r="J13">
        <v>1.3</v>
      </c>
      <c r="K13" t="s">
        <v>53</v>
      </c>
      <c r="L13">
        <v>28900667</v>
      </c>
    </row>
    <row r="14" spans="1:12" x14ac:dyDescent="0.3">
      <c r="A14" t="s">
        <v>28</v>
      </c>
      <c r="B14" t="s">
        <v>20</v>
      </c>
      <c r="C14">
        <v>225712</v>
      </c>
      <c r="D14">
        <v>1100</v>
      </c>
      <c r="E14">
        <v>220800</v>
      </c>
      <c r="F14">
        <v>3812</v>
      </c>
      <c r="G14">
        <v>0.49</v>
      </c>
      <c r="H14">
        <v>97.82</v>
      </c>
      <c r="I14" t="s">
        <v>52</v>
      </c>
      <c r="J14">
        <v>1.69</v>
      </c>
      <c r="K14" t="s">
        <v>53</v>
      </c>
      <c r="L14">
        <v>7503010</v>
      </c>
    </row>
    <row r="15" spans="1:12" x14ac:dyDescent="0.3">
      <c r="A15" t="s">
        <v>29</v>
      </c>
      <c r="B15" t="s">
        <v>20</v>
      </c>
      <c r="C15">
        <v>334006</v>
      </c>
      <c r="D15">
        <v>1450</v>
      </c>
      <c r="E15">
        <v>328108</v>
      </c>
      <c r="F15">
        <v>4448</v>
      </c>
      <c r="G15">
        <v>0.43</v>
      </c>
      <c r="H15">
        <v>98.23</v>
      </c>
      <c r="I15" t="s">
        <v>52</v>
      </c>
      <c r="J15">
        <v>1.33</v>
      </c>
      <c r="K15" t="s">
        <v>53</v>
      </c>
      <c r="L15">
        <v>14999397</v>
      </c>
    </row>
    <row r="16" spans="1:12" x14ac:dyDescent="0.3">
      <c r="A16" t="s">
        <v>30</v>
      </c>
      <c r="B16" t="s">
        <v>16</v>
      </c>
      <c r="C16">
        <v>348992</v>
      </c>
      <c r="D16">
        <v>141</v>
      </c>
      <c r="E16">
        <v>343713</v>
      </c>
      <c r="F16">
        <v>5138</v>
      </c>
      <c r="G16">
        <v>0.04</v>
      </c>
      <c r="H16">
        <v>98.49</v>
      </c>
      <c r="I16" t="s">
        <v>53</v>
      </c>
      <c r="J16">
        <v>1.47</v>
      </c>
      <c r="K16" t="s">
        <v>53</v>
      </c>
      <c r="L16">
        <v>40100376</v>
      </c>
    </row>
    <row r="17" spans="1:12" x14ac:dyDescent="0.3">
      <c r="A17" t="s">
        <v>31</v>
      </c>
      <c r="B17" t="s">
        <v>13</v>
      </c>
      <c r="C17">
        <v>2991614</v>
      </c>
      <c r="D17">
        <v>8056</v>
      </c>
      <c r="E17">
        <v>2945415</v>
      </c>
      <c r="F17">
        <v>38143</v>
      </c>
      <c r="G17">
        <v>0.27</v>
      </c>
      <c r="H17">
        <v>98.46</v>
      </c>
      <c r="I17" t="s">
        <v>53</v>
      </c>
      <c r="J17">
        <v>1.27</v>
      </c>
      <c r="K17" t="s">
        <v>52</v>
      </c>
      <c r="L17">
        <v>69599762</v>
      </c>
    </row>
    <row r="18" spans="1:12" x14ac:dyDescent="0.3">
      <c r="A18" t="s">
        <v>32</v>
      </c>
      <c r="B18" t="s">
        <v>13</v>
      </c>
      <c r="C18">
        <v>5055224</v>
      </c>
      <c r="D18">
        <v>69258</v>
      </c>
      <c r="E18">
        <v>4950281</v>
      </c>
      <c r="F18">
        <v>35685</v>
      </c>
      <c r="G18">
        <v>1.37</v>
      </c>
      <c r="H18">
        <v>97.92</v>
      </c>
      <c r="I18" t="s">
        <v>52</v>
      </c>
      <c r="J18">
        <v>0.71</v>
      </c>
      <c r="K18" t="s">
        <v>52</v>
      </c>
      <c r="L18">
        <v>34698876</v>
      </c>
    </row>
    <row r="19" spans="1:12" x14ac:dyDescent="0.3">
      <c r="A19" t="s">
        <v>33</v>
      </c>
      <c r="B19" t="s">
        <v>20</v>
      </c>
      <c r="C19">
        <v>21148</v>
      </c>
      <c r="D19">
        <v>154</v>
      </c>
      <c r="E19">
        <v>20783</v>
      </c>
      <c r="F19">
        <v>211</v>
      </c>
      <c r="G19">
        <v>0.73</v>
      </c>
      <c r="H19">
        <v>98.27</v>
      </c>
      <c r="I19" t="s">
        <v>52</v>
      </c>
      <c r="J19">
        <v>1</v>
      </c>
      <c r="K19" t="s">
        <v>52</v>
      </c>
      <c r="L19">
        <v>290492</v>
      </c>
    </row>
    <row r="20" spans="1:12" x14ac:dyDescent="0.3">
      <c r="A20" t="s">
        <v>34</v>
      </c>
      <c r="B20" t="s">
        <v>13</v>
      </c>
      <c r="C20">
        <v>10365</v>
      </c>
      <c r="D20">
        <v>0</v>
      </c>
      <c r="E20">
        <v>10314</v>
      </c>
      <c r="F20">
        <v>51</v>
      </c>
      <c r="G20">
        <v>0</v>
      </c>
      <c r="H20">
        <v>99.51</v>
      </c>
      <c r="I20" t="s">
        <v>53</v>
      </c>
      <c r="J20">
        <v>0.49</v>
      </c>
      <c r="K20" t="s">
        <v>52</v>
      </c>
      <c r="L20">
        <v>66001</v>
      </c>
    </row>
    <row r="21" spans="1:12" x14ac:dyDescent="0.3">
      <c r="A21" t="s">
        <v>35</v>
      </c>
      <c r="B21" t="s">
        <v>23</v>
      </c>
      <c r="C21">
        <v>792956</v>
      </c>
      <c r="D21">
        <v>75</v>
      </c>
      <c r="E21">
        <v>782357</v>
      </c>
      <c r="F21">
        <v>10524</v>
      </c>
      <c r="G21">
        <v>0.01</v>
      </c>
      <c r="H21">
        <v>98.66</v>
      </c>
      <c r="I21" t="s">
        <v>53</v>
      </c>
      <c r="J21">
        <v>1.33</v>
      </c>
      <c r="K21" t="s">
        <v>53</v>
      </c>
      <c r="L21">
        <v>85002417</v>
      </c>
    </row>
    <row r="22" spans="1:12" x14ac:dyDescent="0.3">
      <c r="A22" t="s">
        <v>36</v>
      </c>
      <c r="B22" t="s">
        <v>23</v>
      </c>
      <c r="C22">
        <v>6623344</v>
      </c>
      <c r="D22">
        <v>15866</v>
      </c>
      <c r="E22">
        <v>6466913</v>
      </c>
      <c r="F22">
        <v>140565</v>
      </c>
      <c r="G22">
        <v>0.24</v>
      </c>
      <c r="H22">
        <v>97.64</v>
      </c>
      <c r="I22" t="s">
        <v>52</v>
      </c>
      <c r="J22">
        <v>2.12</v>
      </c>
      <c r="K22" t="s">
        <v>53</v>
      </c>
      <c r="L22">
        <v>124904071</v>
      </c>
    </row>
    <row r="23" spans="1:12" x14ac:dyDescent="0.3">
      <c r="A23" t="s">
        <v>37</v>
      </c>
      <c r="B23" t="s">
        <v>16</v>
      </c>
      <c r="C23">
        <v>124432</v>
      </c>
      <c r="D23">
        <v>799</v>
      </c>
      <c r="E23">
        <v>121687</v>
      </c>
      <c r="F23">
        <v>1946</v>
      </c>
      <c r="G23">
        <v>0.64</v>
      </c>
      <c r="H23">
        <v>97.79</v>
      </c>
      <c r="I23" t="s">
        <v>52</v>
      </c>
      <c r="J23">
        <v>1.56</v>
      </c>
      <c r="K23" t="s">
        <v>53</v>
      </c>
      <c r="L23">
        <v>3436948</v>
      </c>
    </row>
    <row r="24" spans="1:12" x14ac:dyDescent="0.3">
      <c r="A24" t="s">
        <v>38</v>
      </c>
      <c r="B24" t="s">
        <v>16</v>
      </c>
      <c r="C24">
        <v>84013</v>
      </c>
      <c r="D24">
        <v>277</v>
      </c>
      <c r="E24">
        <v>82274</v>
      </c>
      <c r="F24">
        <v>1462</v>
      </c>
      <c r="G24">
        <v>0.33</v>
      </c>
      <c r="H24">
        <v>97.93</v>
      </c>
      <c r="I24" t="s">
        <v>52</v>
      </c>
      <c r="J24">
        <v>1.74</v>
      </c>
      <c r="K24" t="s">
        <v>53</v>
      </c>
      <c r="L24">
        <v>3772103</v>
      </c>
    </row>
    <row r="25" spans="1:12" x14ac:dyDescent="0.3">
      <c r="A25" t="s">
        <v>39</v>
      </c>
      <c r="B25" t="s">
        <v>16</v>
      </c>
      <c r="C25">
        <v>128604</v>
      </c>
      <c r="D25">
        <v>5651</v>
      </c>
      <c r="E25">
        <v>122494</v>
      </c>
      <c r="F25">
        <v>459</v>
      </c>
      <c r="G25">
        <v>4.3899999999999997</v>
      </c>
      <c r="H25">
        <v>95.25</v>
      </c>
      <c r="I25" t="s">
        <v>52</v>
      </c>
      <c r="J25">
        <v>0.36</v>
      </c>
      <c r="K25" t="s">
        <v>52</v>
      </c>
      <c r="L25">
        <v>1308967</v>
      </c>
    </row>
    <row r="26" spans="1:12" x14ac:dyDescent="0.3">
      <c r="A26" t="s">
        <v>40</v>
      </c>
      <c r="B26" t="s">
        <v>16</v>
      </c>
      <c r="C26">
        <v>31978</v>
      </c>
      <c r="D26">
        <v>163</v>
      </c>
      <c r="E26">
        <v>31123</v>
      </c>
      <c r="F26">
        <v>692</v>
      </c>
      <c r="G26">
        <v>0.51</v>
      </c>
      <c r="H26">
        <v>97.33</v>
      </c>
      <c r="I26" t="s">
        <v>52</v>
      </c>
      <c r="J26">
        <v>2.16</v>
      </c>
      <c r="K26" t="s">
        <v>53</v>
      </c>
      <c r="L26">
        <v>2073074</v>
      </c>
    </row>
    <row r="27" spans="1:12" x14ac:dyDescent="0.3">
      <c r="A27" t="s">
        <v>41</v>
      </c>
      <c r="B27" t="s">
        <v>16</v>
      </c>
      <c r="C27">
        <v>1045209</v>
      </c>
      <c r="D27">
        <v>2534</v>
      </c>
      <c r="E27">
        <v>1034300</v>
      </c>
      <c r="F27">
        <v>8375</v>
      </c>
      <c r="G27">
        <v>0.24</v>
      </c>
      <c r="H27">
        <v>98.96</v>
      </c>
      <c r="I27" t="s">
        <v>53</v>
      </c>
      <c r="J27">
        <v>0.8</v>
      </c>
      <c r="K27" t="s">
        <v>52</v>
      </c>
      <c r="L27">
        <v>47099270</v>
      </c>
    </row>
    <row r="28" spans="1:12" x14ac:dyDescent="0.3">
      <c r="A28" t="s">
        <v>42</v>
      </c>
      <c r="B28" t="s">
        <v>13</v>
      </c>
      <c r="C28">
        <v>128401</v>
      </c>
      <c r="D28">
        <v>275</v>
      </c>
      <c r="E28">
        <v>126263</v>
      </c>
      <c r="F28">
        <v>1863</v>
      </c>
      <c r="G28">
        <v>0.21</v>
      </c>
      <c r="H28">
        <v>98.33</v>
      </c>
      <c r="I28" t="s">
        <v>52</v>
      </c>
      <c r="J28">
        <v>1.45</v>
      </c>
      <c r="K28" t="s">
        <v>53</v>
      </c>
      <c r="L28">
        <v>1646050</v>
      </c>
    </row>
    <row r="29" spans="1:12" x14ac:dyDescent="0.3">
      <c r="A29" t="s">
        <v>43</v>
      </c>
      <c r="B29" t="s">
        <v>20</v>
      </c>
      <c r="C29">
        <v>602778</v>
      </c>
      <c r="D29">
        <v>318</v>
      </c>
      <c r="E29">
        <v>585889</v>
      </c>
      <c r="F29">
        <v>16571</v>
      </c>
      <c r="G29">
        <v>0.05</v>
      </c>
      <c r="H29">
        <v>97.2</v>
      </c>
      <c r="I29" t="s">
        <v>52</v>
      </c>
      <c r="J29">
        <v>2.75</v>
      </c>
      <c r="K29" t="s">
        <v>53</v>
      </c>
      <c r="L29">
        <v>30501026</v>
      </c>
    </row>
    <row r="30" spans="1:12" x14ac:dyDescent="0.3">
      <c r="A30" t="s">
        <v>44</v>
      </c>
      <c r="B30" t="s">
        <v>23</v>
      </c>
      <c r="C30">
        <v>954503</v>
      </c>
      <c r="D30">
        <v>71</v>
      </c>
      <c r="E30">
        <v>945478</v>
      </c>
      <c r="F30">
        <v>8954</v>
      </c>
      <c r="G30">
        <v>0.01</v>
      </c>
      <c r="H30">
        <v>99.05</v>
      </c>
      <c r="I30" t="s">
        <v>53</v>
      </c>
      <c r="J30">
        <v>0.94</v>
      </c>
      <c r="K30" t="s">
        <v>52</v>
      </c>
      <c r="L30">
        <v>79502477</v>
      </c>
    </row>
    <row r="31" spans="1:12" x14ac:dyDescent="0.3">
      <c r="A31" t="s">
        <v>45</v>
      </c>
      <c r="B31" t="s">
        <v>16</v>
      </c>
      <c r="C31">
        <v>32096</v>
      </c>
      <c r="D31">
        <v>121</v>
      </c>
      <c r="E31">
        <v>31575</v>
      </c>
      <c r="F31">
        <v>400</v>
      </c>
      <c r="G31">
        <v>0.38</v>
      </c>
      <c r="H31">
        <v>98.38</v>
      </c>
      <c r="I31" t="s">
        <v>53</v>
      </c>
      <c r="J31">
        <v>1.25</v>
      </c>
      <c r="K31" t="s">
        <v>52</v>
      </c>
      <c r="L31">
        <v>658019</v>
      </c>
    </row>
    <row r="32" spans="1:12" x14ac:dyDescent="0.3">
      <c r="A32" t="s">
        <v>46</v>
      </c>
      <c r="B32" t="s">
        <v>13</v>
      </c>
      <c r="C32">
        <v>2714025</v>
      </c>
      <c r="D32">
        <v>9751</v>
      </c>
      <c r="E32">
        <v>2668001</v>
      </c>
      <c r="F32">
        <v>36273</v>
      </c>
      <c r="G32">
        <v>0.36</v>
      </c>
      <c r="H32">
        <v>98.3</v>
      </c>
      <c r="I32" t="s">
        <v>52</v>
      </c>
      <c r="J32">
        <v>1.34</v>
      </c>
      <c r="K32" t="s">
        <v>53</v>
      </c>
      <c r="L32">
        <v>83697770</v>
      </c>
    </row>
    <row r="33" spans="1:12" x14ac:dyDescent="0.3">
      <c r="A33" t="s">
        <v>47</v>
      </c>
      <c r="B33" t="s">
        <v>13</v>
      </c>
      <c r="C33">
        <v>673469</v>
      </c>
      <c r="D33">
        <v>3741</v>
      </c>
      <c r="E33">
        <v>665755</v>
      </c>
      <c r="F33">
        <v>3973</v>
      </c>
      <c r="G33">
        <v>0.56000000000000005</v>
      </c>
      <c r="H33">
        <v>98.85</v>
      </c>
      <c r="I33" t="s">
        <v>53</v>
      </c>
      <c r="J33">
        <v>0.59</v>
      </c>
      <c r="K33" t="s">
        <v>52</v>
      </c>
      <c r="L33">
        <v>38157311</v>
      </c>
    </row>
    <row r="34" spans="1:12" x14ac:dyDescent="0.3">
      <c r="A34" t="s">
        <v>48</v>
      </c>
      <c r="B34" t="s">
        <v>16</v>
      </c>
      <c r="C34">
        <v>84665</v>
      </c>
      <c r="D34">
        <v>116</v>
      </c>
      <c r="E34">
        <v>83732</v>
      </c>
      <c r="F34">
        <v>817</v>
      </c>
      <c r="G34">
        <v>0.14000000000000001</v>
      </c>
      <c r="H34">
        <v>98.9</v>
      </c>
      <c r="I34" t="s">
        <v>53</v>
      </c>
      <c r="J34">
        <v>0.96</v>
      </c>
      <c r="K34" t="s">
        <v>52</v>
      </c>
      <c r="L34">
        <v>4184959</v>
      </c>
    </row>
    <row r="35" spans="1:12" x14ac:dyDescent="0.3">
      <c r="A35" t="s">
        <v>49</v>
      </c>
      <c r="B35" t="s">
        <v>20</v>
      </c>
      <c r="C35">
        <v>1710261</v>
      </c>
      <c r="D35">
        <v>90</v>
      </c>
      <c r="E35">
        <v>1687262</v>
      </c>
      <c r="F35">
        <v>22909</v>
      </c>
      <c r="G35">
        <v>0.01</v>
      </c>
      <c r="H35">
        <v>98.66</v>
      </c>
      <c r="I35" t="s">
        <v>53</v>
      </c>
      <c r="J35">
        <v>1.34</v>
      </c>
      <c r="K35" t="s">
        <v>53</v>
      </c>
      <c r="L35">
        <v>231502578</v>
      </c>
    </row>
    <row r="36" spans="1:12" x14ac:dyDescent="0.3">
      <c r="A36" t="s">
        <v>50</v>
      </c>
      <c r="B36" t="s">
        <v>20</v>
      </c>
      <c r="C36">
        <v>344014</v>
      </c>
      <c r="D36">
        <v>158</v>
      </c>
      <c r="E36">
        <v>336453</v>
      </c>
      <c r="F36">
        <v>7403</v>
      </c>
      <c r="G36">
        <v>0.05</v>
      </c>
      <c r="H36">
        <v>97.8</v>
      </c>
      <c r="I36" t="s">
        <v>52</v>
      </c>
      <c r="J36">
        <v>2.15</v>
      </c>
      <c r="K36" t="s">
        <v>53</v>
      </c>
      <c r="L36">
        <v>11700099</v>
      </c>
    </row>
    <row r="37" spans="1:12" x14ac:dyDescent="0.3">
      <c r="A37" t="s">
        <v>51</v>
      </c>
      <c r="B37" t="s">
        <v>16</v>
      </c>
      <c r="C37">
        <v>1603318</v>
      </c>
      <c r="D37">
        <v>8031</v>
      </c>
      <c r="E37">
        <v>1575980</v>
      </c>
      <c r="F37">
        <v>19307</v>
      </c>
      <c r="G37">
        <v>0.5</v>
      </c>
      <c r="H37">
        <v>98.29</v>
      </c>
      <c r="I37" t="s">
        <v>52</v>
      </c>
      <c r="J37">
        <v>1.2</v>
      </c>
      <c r="K37" t="s">
        <v>52</v>
      </c>
      <c r="L37">
        <v>100896618</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CA352A-5867-4447-A539-EC122ED0DBBB}">
  <dimension ref="A3:N8"/>
  <sheetViews>
    <sheetView zoomScale="93" workbookViewId="0">
      <selection activeCell="K5" sqref="K5"/>
    </sheetView>
  </sheetViews>
  <sheetFormatPr defaultRowHeight="14.4" x14ac:dyDescent="0.3"/>
  <cols>
    <col min="1" max="1" width="12.6640625" bestFit="1" customWidth="1"/>
    <col min="2" max="2" width="17" bestFit="1" customWidth="1"/>
    <col min="4" max="4" width="13" bestFit="1" customWidth="1"/>
    <col min="5" max="6" width="13.33203125" bestFit="1" customWidth="1"/>
    <col min="7" max="7" width="13" bestFit="1" customWidth="1"/>
    <col min="8" max="9" width="12.6640625" bestFit="1" customWidth="1"/>
    <col min="10" max="10" width="13" bestFit="1" customWidth="1"/>
    <col min="11" max="11" width="16.88671875" bestFit="1" customWidth="1"/>
    <col min="12" max="12" width="16.77734375" bestFit="1" customWidth="1"/>
    <col min="13" max="13" width="13" bestFit="1" customWidth="1"/>
    <col min="14" max="15" width="16.77734375" bestFit="1" customWidth="1"/>
  </cols>
  <sheetData>
    <row r="3" spans="1:14" x14ac:dyDescent="0.3">
      <c r="A3" s="2" t="s">
        <v>61</v>
      </c>
      <c r="B3" t="s">
        <v>56</v>
      </c>
      <c r="D3" s="2" t="s">
        <v>54</v>
      </c>
      <c r="E3" t="s">
        <v>57</v>
      </c>
      <c r="G3" s="2" t="s">
        <v>54</v>
      </c>
      <c r="H3" t="s">
        <v>59</v>
      </c>
      <c r="J3" s="2" t="s">
        <v>54</v>
      </c>
      <c r="K3" t="s">
        <v>58</v>
      </c>
      <c r="M3" s="2" t="s">
        <v>54</v>
      </c>
      <c r="N3" t="s">
        <v>60</v>
      </c>
    </row>
    <row r="4" spans="1:14" x14ac:dyDescent="0.3">
      <c r="A4" s="3" t="s">
        <v>16</v>
      </c>
      <c r="B4">
        <v>5884786</v>
      </c>
      <c r="D4" s="3" t="s">
        <v>16</v>
      </c>
      <c r="E4">
        <v>68173</v>
      </c>
      <c r="G4" s="3" t="s">
        <v>16</v>
      </c>
      <c r="H4">
        <v>21406</v>
      </c>
      <c r="J4" s="3" t="s">
        <v>16</v>
      </c>
      <c r="K4">
        <v>5795207</v>
      </c>
      <c r="M4" s="3" t="s">
        <v>16</v>
      </c>
      <c r="N4">
        <v>401941119</v>
      </c>
    </row>
    <row r="5" spans="1:14" x14ac:dyDescent="0.3">
      <c r="A5" s="3" t="s">
        <v>20</v>
      </c>
      <c r="B5">
        <v>5515107</v>
      </c>
      <c r="D5" s="3" t="s">
        <v>20</v>
      </c>
      <c r="E5">
        <v>91317</v>
      </c>
      <c r="G5" s="3" t="s">
        <v>20</v>
      </c>
      <c r="H5">
        <v>3795</v>
      </c>
      <c r="J5" s="3" t="s">
        <v>20</v>
      </c>
      <c r="K5">
        <v>5419995</v>
      </c>
      <c r="M5" s="3" t="s">
        <v>20</v>
      </c>
      <c r="N5">
        <v>345856405</v>
      </c>
    </row>
    <row r="6" spans="1:14" x14ac:dyDescent="0.3">
      <c r="A6" s="3" t="s">
        <v>13</v>
      </c>
      <c r="B6">
        <v>13650538</v>
      </c>
      <c r="D6" s="3" t="s">
        <v>13</v>
      </c>
      <c r="E6">
        <v>130529</v>
      </c>
      <c r="G6" s="3" t="s">
        <v>13</v>
      </c>
      <c r="H6">
        <v>94216</v>
      </c>
      <c r="J6" s="3" t="s">
        <v>13</v>
      </c>
      <c r="K6">
        <v>13425793</v>
      </c>
      <c r="M6" s="3" t="s">
        <v>13</v>
      </c>
      <c r="N6">
        <v>319967249</v>
      </c>
    </row>
    <row r="7" spans="1:14" x14ac:dyDescent="0.3">
      <c r="A7" s="3" t="s">
        <v>23</v>
      </c>
      <c r="B7">
        <v>9386876</v>
      </c>
      <c r="D7" s="3" t="s">
        <v>23</v>
      </c>
      <c r="E7">
        <v>173511</v>
      </c>
      <c r="G7" s="3" t="s">
        <v>23</v>
      </c>
      <c r="H7">
        <v>16501</v>
      </c>
      <c r="J7" s="3" t="s">
        <v>23</v>
      </c>
      <c r="K7">
        <v>9196864</v>
      </c>
      <c r="M7" s="3" t="s">
        <v>23</v>
      </c>
      <c r="N7">
        <v>362105107</v>
      </c>
    </row>
    <row r="8" spans="1:14" x14ac:dyDescent="0.3">
      <c r="A8" s="3" t="s">
        <v>55</v>
      </c>
      <c r="B8">
        <v>34437307</v>
      </c>
      <c r="D8" s="3" t="s">
        <v>55</v>
      </c>
      <c r="E8">
        <v>463530</v>
      </c>
      <c r="G8" s="3" t="s">
        <v>55</v>
      </c>
      <c r="H8">
        <v>135918</v>
      </c>
      <c r="J8" s="3" t="s">
        <v>55</v>
      </c>
      <c r="K8">
        <v>33837859</v>
      </c>
      <c r="M8" s="3" t="s">
        <v>55</v>
      </c>
      <c r="N8">
        <v>1429869880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09633-D7AF-4EB0-8A44-8C259779BE6F}">
  <dimension ref="A1:N39"/>
  <sheetViews>
    <sheetView showGridLines="0" tabSelected="1" workbookViewId="0">
      <selection activeCell="O2" sqref="O2"/>
    </sheetView>
  </sheetViews>
  <sheetFormatPr defaultRowHeight="14.4" x14ac:dyDescent="0.3"/>
  <cols>
    <col min="1" max="1" width="12.5546875" bestFit="1" customWidth="1"/>
    <col min="2" max="2" width="16.88671875" bestFit="1" customWidth="1"/>
    <col min="4" max="4" width="12.5546875" bestFit="1" customWidth="1"/>
    <col min="5" max="5" width="13.33203125" bestFit="1" customWidth="1"/>
    <col min="7" max="7" width="12.5546875" bestFit="1" customWidth="1"/>
    <col min="8" max="8" width="12.6640625" bestFit="1" customWidth="1"/>
    <col min="10" max="10" width="12.5546875" bestFit="1" customWidth="1"/>
    <col min="11" max="11" width="16.77734375" bestFit="1" customWidth="1"/>
    <col min="13" max="13" width="12.5546875" bestFit="1" customWidth="1"/>
    <col min="14" max="14" width="16.77734375" bestFit="1" customWidth="1"/>
  </cols>
  <sheetData>
    <row r="1" spans="1:14" s="5" customFormat="1" ht="24.6" customHeight="1" x14ac:dyDescent="0.3">
      <c r="A1" s="6" t="s">
        <v>62</v>
      </c>
      <c r="B1" s="6"/>
      <c r="C1" s="6"/>
      <c r="D1" s="6"/>
      <c r="E1" s="6"/>
      <c r="F1" s="6"/>
      <c r="G1" s="6"/>
      <c r="H1" s="6"/>
      <c r="I1" s="6"/>
      <c r="J1" s="6"/>
      <c r="K1" s="6"/>
      <c r="L1" s="6"/>
      <c r="M1" s="6"/>
      <c r="N1" s="6"/>
    </row>
    <row r="2" spans="1:14" s="5" customFormat="1" ht="14.4" customHeight="1" x14ac:dyDescent="0.3">
      <c r="A2" s="6"/>
      <c r="B2" s="6"/>
      <c r="C2" s="6"/>
      <c r="D2" s="6"/>
      <c r="E2" s="6"/>
      <c r="F2" s="6"/>
      <c r="G2" s="6"/>
      <c r="H2" s="6"/>
      <c r="I2" s="6"/>
      <c r="J2" s="6"/>
      <c r="K2" s="6"/>
      <c r="L2" s="6"/>
      <c r="M2" s="6"/>
      <c r="N2" s="6"/>
    </row>
    <row r="3" spans="1:14" x14ac:dyDescent="0.3">
      <c r="A3" s="4"/>
      <c r="B3" s="4"/>
      <c r="C3" s="4"/>
      <c r="D3" s="4"/>
      <c r="E3" s="4"/>
      <c r="F3" s="4"/>
      <c r="G3" s="4"/>
      <c r="H3" s="4"/>
      <c r="I3" s="4"/>
      <c r="J3" s="4"/>
      <c r="K3" s="4"/>
      <c r="L3" s="4"/>
      <c r="M3" s="4"/>
      <c r="N3" s="4"/>
    </row>
    <row r="4" spans="1:14" x14ac:dyDescent="0.3">
      <c r="A4" s="4"/>
      <c r="B4" s="4"/>
      <c r="C4" s="4"/>
      <c r="D4" s="4"/>
      <c r="E4" s="4"/>
      <c r="F4" s="4"/>
      <c r="G4" s="4"/>
      <c r="H4" s="4"/>
      <c r="I4" s="4"/>
      <c r="J4" s="4"/>
      <c r="K4" s="4"/>
      <c r="L4" s="4"/>
      <c r="M4" s="4"/>
      <c r="N4" s="4"/>
    </row>
    <row r="5" spans="1:14" x14ac:dyDescent="0.3">
      <c r="A5" s="4"/>
      <c r="B5" s="4"/>
      <c r="C5" s="4"/>
      <c r="D5" s="4"/>
      <c r="E5" s="4"/>
      <c r="F5" s="4"/>
      <c r="G5" s="4"/>
      <c r="H5" s="4"/>
      <c r="I5" s="4"/>
      <c r="J5" s="4"/>
      <c r="K5" s="4"/>
      <c r="L5" s="4"/>
      <c r="M5" s="4"/>
      <c r="N5" s="4" t="s">
        <v>64</v>
      </c>
    </row>
    <row r="6" spans="1:14" x14ac:dyDescent="0.3">
      <c r="A6" s="4"/>
      <c r="B6" s="4"/>
      <c r="C6" s="4"/>
      <c r="D6" s="4"/>
      <c r="E6" s="4"/>
      <c r="F6" s="4"/>
      <c r="G6" s="4"/>
      <c r="H6" s="4"/>
      <c r="I6" s="4"/>
      <c r="J6" s="4"/>
      <c r="K6" s="4"/>
      <c r="L6" s="4"/>
      <c r="M6" s="4"/>
      <c r="N6" s="4"/>
    </row>
    <row r="7" spans="1:14" x14ac:dyDescent="0.3">
      <c r="A7" s="4"/>
      <c r="B7" s="4"/>
      <c r="C7" s="4"/>
      <c r="D7" s="4"/>
      <c r="E7" s="4"/>
      <c r="F7" s="4"/>
      <c r="G7" s="4"/>
      <c r="H7" s="4"/>
      <c r="I7" s="4"/>
      <c r="J7" s="4"/>
      <c r="K7" s="4"/>
      <c r="L7" s="4"/>
      <c r="M7" s="4"/>
      <c r="N7" s="4"/>
    </row>
    <row r="8" spans="1:14" x14ac:dyDescent="0.3">
      <c r="A8" s="4"/>
      <c r="B8" s="4"/>
      <c r="C8" s="4"/>
      <c r="D8" s="4"/>
      <c r="E8" s="4"/>
      <c r="F8" s="4"/>
      <c r="G8" s="4"/>
      <c r="H8" s="4"/>
      <c r="I8" s="4"/>
      <c r="J8" s="4"/>
      <c r="K8" s="4"/>
      <c r="L8" s="4"/>
      <c r="M8" s="4"/>
      <c r="N8" s="4"/>
    </row>
    <row r="9" spans="1:14" x14ac:dyDescent="0.3">
      <c r="A9" s="4"/>
      <c r="B9" s="4"/>
      <c r="C9" s="4"/>
      <c r="D9" s="4"/>
      <c r="E9" s="4"/>
      <c r="F9" s="4"/>
      <c r="G9" s="4"/>
      <c r="H9" s="4"/>
      <c r="I9" s="4"/>
      <c r="J9" s="4"/>
      <c r="K9" s="4"/>
      <c r="L9" s="4"/>
      <c r="M9" s="4"/>
      <c r="N9" s="4"/>
    </row>
    <row r="10" spans="1:14" x14ac:dyDescent="0.3">
      <c r="A10" s="4"/>
      <c r="B10" s="4"/>
      <c r="C10" s="4"/>
      <c r="D10" s="4"/>
      <c r="E10" s="4"/>
      <c r="F10" s="4"/>
      <c r="G10" s="4"/>
      <c r="H10" s="4"/>
      <c r="I10" s="4"/>
      <c r="J10" s="4"/>
      <c r="K10" s="4"/>
      <c r="L10" s="4"/>
      <c r="M10" s="4"/>
      <c r="N10" s="4"/>
    </row>
    <row r="11" spans="1:14" x14ac:dyDescent="0.3">
      <c r="A11" s="4"/>
      <c r="B11" s="4"/>
      <c r="C11" s="4"/>
      <c r="D11" s="4"/>
      <c r="E11" s="4"/>
      <c r="F11" s="4"/>
      <c r="G11" s="4"/>
      <c r="H11" s="4"/>
      <c r="I11" s="4"/>
      <c r="J11" s="4"/>
      <c r="K11" s="4"/>
      <c r="L11" s="4"/>
      <c r="M11" s="4"/>
      <c r="N11" s="4"/>
    </row>
    <row r="12" spans="1:14" x14ac:dyDescent="0.3">
      <c r="A12" s="4"/>
      <c r="B12" s="4"/>
      <c r="C12" s="4"/>
      <c r="D12" s="4"/>
      <c r="E12" s="4"/>
      <c r="F12" s="4"/>
      <c r="G12" s="4"/>
      <c r="H12" s="4"/>
      <c r="I12" s="4"/>
      <c r="J12" s="4"/>
      <c r="K12" s="4"/>
      <c r="L12" s="4"/>
      <c r="M12" s="4"/>
      <c r="N12" s="4"/>
    </row>
    <row r="13" spans="1:14" x14ac:dyDescent="0.3">
      <c r="A13" s="4"/>
      <c r="B13" s="4"/>
      <c r="C13" s="4"/>
      <c r="D13" s="4"/>
      <c r="E13" s="4"/>
      <c r="F13" s="4"/>
      <c r="G13" s="4"/>
      <c r="H13" s="4"/>
      <c r="I13" s="4"/>
      <c r="J13" s="4"/>
      <c r="K13" s="4"/>
      <c r="L13" s="4"/>
      <c r="M13" s="4"/>
      <c r="N13" s="4"/>
    </row>
    <row r="14" spans="1:14" x14ac:dyDescent="0.3">
      <c r="A14" s="4"/>
      <c r="B14" s="4"/>
      <c r="C14" s="4"/>
      <c r="D14" s="4"/>
      <c r="E14" s="4"/>
      <c r="F14" s="4"/>
      <c r="G14" s="4"/>
      <c r="H14" s="4"/>
      <c r="I14" s="4"/>
      <c r="J14" s="4"/>
      <c r="K14" s="4"/>
      <c r="L14" s="4"/>
      <c r="M14" s="4"/>
      <c r="N14" s="4"/>
    </row>
    <row r="15" spans="1:14" x14ac:dyDescent="0.3">
      <c r="A15" s="4"/>
      <c r="B15" s="4"/>
      <c r="C15" s="4"/>
      <c r="D15" s="4"/>
      <c r="E15" s="4"/>
      <c r="F15" s="4"/>
      <c r="G15" s="4"/>
      <c r="H15" s="4"/>
      <c r="I15" s="4"/>
      <c r="J15" s="4"/>
      <c r="K15" s="4"/>
      <c r="L15" s="4"/>
      <c r="M15" s="4"/>
      <c r="N15" s="4"/>
    </row>
    <row r="16" spans="1:14" x14ac:dyDescent="0.3">
      <c r="A16" s="4"/>
      <c r="B16" s="4"/>
      <c r="C16" s="4"/>
      <c r="D16" s="4"/>
      <c r="E16" s="4"/>
      <c r="F16" s="4"/>
      <c r="G16" s="4"/>
      <c r="H16" s="4"/>
      <c r="I16" s="4"/>
      <c r="J16" s="4"/>
      <c r="K16" s="4"/>
      <c r="L16" s="4"/>
      <c r="M16" s="4"/>
      <c r="N16" s="4"/>
    </row>
    <row r="17" spans="1:14" x14ac:dyDescent="0.3">
      <c r="A17" s="4"/>
      <c r="B17" s="4"/>
      <c r="C17" s="4"/>
      <c r="D17" s="4"/>
      <c r="E17" s="4"/>
      <c r="F17" s="4"/>
      <c r="G17" s="4"/>
      <c r="H17" s="4"/>
      <c r="I17" s="4"/>
      <c r="J17" s="4"/>
      <c r="K17" s="4"/>
      <c r="L17" s="4"/>
      <c r="M17" s="4"/>
      <c r="N17" s="4"/>
    </row>
    <row r="18" spans="1:14" x14ac:dyDescent="0.3">
      <c r="A18" s="4"/>
      <c r="B18" s="4"/>
      <c r="C18" s="4"/>
      <c r="D18" s="4"/>
      <c r="E18" s="4"/>
      <c r="F18" s="4"/>
      <c r="G18" s="4"/>
      <c r="H18" s="4"/>
      <c r="I18" s="4"/>
      <c r="J18" s="4"/>
      <c r="K18" s="4"/>
      <c r="L18" s="4"/>
      <c r="M18" s="4"/>
      <c r="N18" s="4"/>
    </row>
    <row r="19" spans="1:14" x14ac:dyDescent="0.3">
      <c r="A19" s="4"/>
      <c r="B19" s="4"/>
      <c r="C19" s="4"/>
      <c r="D19" s="4"/>
      <c r="E19" s="4"/>
      <c r="F19" s="4"/>
      <c r="G19" s="4"/>
      <c r="H19" s="4"/>
      <c r="I19" s="4"/>
      <c r="J19" s="4"/>
      <c r="K19" s="4"/>
      <c r="L19" s="4"/>
      <c r="M19" s="4"/>
      <c r="N19" s="4"/>
    </row>
    <row r="20" spans="1:14" x14ac:dyDescent="0.3">
      <c r="A20" s="4"/>
      <c r="B20" s="4"/>
      <c r="C20" s="4"/>
      <c r="D20" s="4"/>
      <c r="E20" s="4"/>
      <c r="F20" s="4"/>
      <c r="G20" s="4"/>
      <c r="H20" s="4"/>
      <c r="I20" s="4"/>
      <c r="J20" s="4"/>
      <c r="K20" s="4"/>
      <c r="L20" s="4"/>
      <c r="M20" s="4"/>
      <c r="N20" s="4"/>
    </row>
    <row r="21" spans="1:14" x14ac:dyDescent="0.3">
      <c r="A21" s="4"/>
      <c r="B21" s="4"/>
      <c r="C21" s="4"/>
      <c r="D21" s="4"/>
      <c r="E21" s="4"/>
      <c r="F21" s="4"/>
      <c r="G21" s="4"/>
      <c r="H21" s="4"/>
      <c r="I21" s="4"/>
      <c r="J21" s="4"/>
      <c r="K21" s="4"/>
      <c r="L21" s="4"/>
      <c r="M21" s="4"/>
      <c r="N21" s="4"/>
    </row>
    <row r="22" spans="1:14" x14ac:dyDescent="0.3">
      <c r="A22" s="4"/>
      <c r="B22" s="4"/>
      <c r="C22" s="4"/>
      <c r="D22" s="4"/>
      <c r="E22" s="4"/>
      <c r="F22" s="4"/>
      <c r="G22" s="4"/>
      <c r="H22" s="4"/>
      <c r="I22" s="4"/>
      <c r="J22" s="4"/>
      <c r="K22" s="4"/>
      <c r="L22" s="4"/>
      <c r="M22" s="4"/>
      <c r="N22" s="4"/>
    </row>
    <row r="23" spans="1:14" x14ac:dyDescent="0.3">
      <c r="A23" s="4"/>
      <c r="B23" s="4"/>
      <c r="C23" s="4"/>
      <c r="D23" s="4"/>
      <c r="E23" s="4"/>
      <c r="F23" s="4"/>
      <c r="G23" s="4"/>
      <c r="H23" s="4"/>
      <c r="I23" s="4"/>
      <c r="J23" s="4"/>
      <c r="K23" s="4"/>
      <c r="L23" s="4"/>
      <c r="M23" s="4"/>
      <c r="N23" s="4"/>
    </row>
    <row r="24" spans="1:14" x14ac:dyDescent="0.3">
      <c r="A24" s="4"/>
      <c r="B24" s="4"/>
      <c r="C24" s="4"/>
      <c r="D24" s="4"/>
      <c r="E24" s="4"/>
      <c r="F24" s="4"/>
      <c r="G24" s="4"/>
      <c r="H24" s="4"/>
      <c r="I24" s="4"/>
      <c r="J24" s="4"/>
      <c r="K24" s="4"/>
      <c r="L24" s="4"/>
      <c r="M24" s="4"/>
      <c r="N24" s="4"/>
    </row>
    <row r="25" spans="1:14" x14ac:dyDescent="0.3">
      <c r="A25" s="4"/>
      <c r="B25" s="4"/>
      <c r="C25" s="4"/>
      <c r="D25" s="4"/>
      <c r="E25" s="4"/>
      <c r="F25" s="4"/>
      <c r="G25" s="4"/>
      <c r="H25" s="4"/>
      <c r="I25" s="4"/>
      <c r="J25" s="4"/>
      <c r="K25" s="4"/>
      <c r="L25" s="4"/>
      <c r="M25" s="4"/>
      <c r="N25" s="4"/>
    </row>
    <row r="26" spans="1:14" x14ac:dyDescent="0.3">
      <c r="A26" s="4"/>
      <c r="B26" s="4"/>
      <c r="C26" s="4"/>
      <c r="D26" s="4"/>
      <c r="E26" s="4"/>
      <c r="F26" s="4"/>
      <c r="G26" s="4"/>
      <c r="H26" s="4"/>
      <c r="I26" s="4"/>
      <c r="J26" s="4"/>
      <c r="K26" s="4"/>
      <c r="L26" s="4"/>
      <c r="M26" s="4"/>
      <c r="N26" s="4"/>
    </row>
    <row r="27" spans="1:14" x14ac:dyDescent="0.3">
      <c r="A27" s="4"/>
      <c r="B27" s="4"/>
      <c r="C27" s="4"/>
      <c r="D27" s="4"/>
      <c r="E27" s="4"/>
      <c r="F27" s="4"/>
      <c r="G27" s="4"/>
      <c r="H27" s="4"/>
      <c r="I27" s="4"/>
      <c r="J27" s="4"/>
      <c r="K27" s="4"/>
      <c r="L27" s="4"/>
      <c r="M27" s="4"/>
      <c r="N27" s="4"/>
    </row>
    <row r="28" spans="1:14" x14ac:dyDescent="0.3">
      <c r="A28" s="7"/>
      <c r="B28" s="7"/>
      <c r="C28" s="7"/>
      <c r="D28" s="7"/>
      <c r="E28" s="7"/>
      <c r="F28" s="7"/>
      <c r="G28" s="7"/>
      <c r="H28" s="7"/>
      <c r="I28" s="7"/>
      <c r="J28" s="7"/>
      <c r="K28" s="7"/>
      <c r="L28" s="7"/>
      <c r="M28" s="7"/>
      <c r="N28" s="7"/>
    </row>
    <row r="29" spans="1:14" x14ac:dyDescent="0.3">
      <c r="A29" s="7"/>
      <c r="B29" s="7"/>
      <c r="C29" s="7"/>
      <c r="D29" s="7"/>
      <c r="E29" s="7"/>
      <c r="F29" s="7"/>
      <c r="G29" s="7"/>
      <c r="H29" s="7"/>
      <c r="I29" s="7"/>
      <c r="J29" s="7"/>
      <c r="K29" s="7"/>
      <c r="L29" s="7"/>
      <c r="M29" s="7"/>
      <c r="N29" s="7"/>
    </row>
    <row r="30" spans="1:14" x14ac:dyDescent="0.3">
      <c r="A30" s="4"/>
      <c r="B30" s="4"/>
      <c r="C30" s="4"/>
      <c r="D30" s="4"/>
      <c r="E30" s="4"/>
      <c r="F30" s="4"/>
      <c r="G30" s="4"/>
      <c r="H30" s="4"/>
      <c r="I30" s="4"/>
      <c r="J30" s="4"/>
      <c r="K30" s="4"/>
      <c r="L30" s="4"/>
      <c r="M30" s="4"/>
      <c r="N30" s="4"/>
    </row>
    <row r="31" spans="1:14" x14ac:dyDescent="0.3">
      <c r="A31" s="4"/>
      <c r="B31" s="4"/>
      <c r="C31" s="4"/>
      <c r="D31" s="4"/>
      <c r="E31" s="4"/>
      <c r="F31" s="4"/>
      <c r="G31" s="4"/>
      <c r="H31" s="4"/>
      <c r="I31" s="4"/>
      <c r="J31" s="4"/>
      <c r="K31" s="4"/>
      <c r="L31" s="4"/>
      <c r="M31" s="4"/>
      <c r="N31" s="4"/>
    </row>
    <row r="32" spans="1:14" x14ac:dyDescent="0.3">
      <c r="A32" s="4"/>
      <c r="B32" s="4"/>
      <c r="C32" s="4"/>
      <c r="D32" s="4"/>
      <c r="E32" s="4"/>
      <c r="F32" s="4"/>
      <c r="G32" s="4"/>
      <c r="H32" s="4"/>
      <c r="I32" s="4"/>
      <c r="J32" s="4"/>
      <c r="K32" s="4"/>
      <c r="L32" s="4"/>
      <c r="M32" s="4"/>
      <c r="N32" s="4"/>
    </row>
    <row r="33" spans="1:14" x14ac:dyDescent="0.3">
      <c r="A33" s="4"/>
      <c r="B33" s="4"/>
      <c r="C33" s="4"/>
      <c r="D33" s="4"/>
      <c r="E33" s="4"/>
      <c r="F33" s="4"/>
      <c r="G33" s="4"/>
      <c r="H33" s="4"/>
      <c r="I33" s="4"/>
      <c r="J33" s="4"/>
      <c r="K33" s="4"/>
      <c r="L33" s="4"/>
      <c r="M33" s="4"/>
      <c r="N33" s="4"/>
    </row>
    <row r="34" spans="1:14" x14ac:dyDescent="0.3">
      <c r="A34" s="4"/>
      <c r="B34" s="4"/>
      <c r="C34" s="4"/>
      <c r="D34" s="4"/>
      <c r="E34" s="4"/>
      <c r="F34" s="4"/>
      <c r="G34" s="4"/>
      <c r="H34" s="4"/>
      <c r="I34" s="4"/>
      <c r="J34" s="4"/>
      <c r="K34" s="4"/>
      <c r="L34" s="4"/>
      <c r="M34" s="4"/>
      <c r="N34" s="4"/>
    </row>
    <row r="35" spans="1:14" x14ac:dyDescent="0.3">
      <c r="A35" s="4"/>
      <c r="B35" s="4"/>
      <c r="C35" s="4"/>
      <c r="D35" s="4"/>
      <c r="E35" s="4"/>
      <c r="F35" s="4"/>
      <c r="G35" s="4"/>
      <c r="H35" s="4"/>
      <c r="I35" s="4"/>
      <c r="J35" s="4"/>
      <c r="K35" s="4"/>
      <c r="L35" s="4"/>
      <c r="M35" s="4"/>
      <c r="N35" s="4" t="s">
        <v>63</v>
      </c>
    </row>
    <row r="37" spans="1:14" ht="0.6" customHeight="1" x14ac:dyDescent="0.3"/>
    <row r="38" spans="1:14" hidden="1" x14ac:dyDescent="0.3"/>
    <row r="39" spans="1:14" hidden="1" x14ac:dyDescent="0.3"/>
  </sheetData>
  <mergeCells count="2">
    <mergeCell ref="A1:N2"/>
    <mergeCell ref="A28:N29"/>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Suhas</dc:creator>
  <cp:lastModifiedBy>Mohd Azeez</cp:lastModifiedBy>
  <cp:lastPrinted>2026-07-18T12:09:26Z</cp:lastPrinted>
  <dcterms:created xsi:type="dcterms:W3CDTF">2015-06-05T18:17:20Z</dcterms:created>
  <dcterms:modified xsi:type="dcterms:W3CDTF">2026-07-18T12:12:51Z</dcterms:modified>
</cp:coreProperties>
</file>